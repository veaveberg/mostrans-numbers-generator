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antyukhov-a\Desktop\Pantiukhov Andrei\Проекты работ\Таблица печати для Трамвайного управления\"/>
    </mc:Choice>
  </mc:AlternateContent>
  <bookViews>
    <workbookView xWindow="0" yWindow="0" windowWidth="28800" windowHeight="12300"/>
  </bookViews>
  <sheets>
    <sheet name="БН ТРЗ" sheetId="2" r:id="rId1"/>
    <sheet name="БН Баумана" sheetId="3" r:id="rId2"/>
    <sheet name="БН Краснопресненское" sheetId="4" r:id="rId3"/>
    <sheet name="БН Октябрьяское" sheetId="5" r:id="rId4"/>
    <sheet name="БН Русакова" sheetId="6" r:id="rId5"/>
    <sheet name="Информационные материалы для ТС" sheetId="7" state="hidden" r:id="rId6"/>
  </sheets>
  <calcPr calcId="162913"/>
  <customWorkbookViews>
    <customWorkbookView name="Витязь (бело-синий, v3)" guid="{48C91630-EFA5-4858-A576-10473CFAC1F3}" maximized="1" windowWidth="0" windowHeight="0" activeSheetId="0"/>
    <customWorkbookView name="Filter 1" guid="{01BE96BB-76CB-4F52-9895-FC8D92B7FE89}" maximized="1" windowWidth="0" windowHeight="0" activeSheetId="0"/>
    <customWorkbookView name="Только прозрачка" guid="{A1F2D27D-95CE-4D91-B17E-027D2B548BD7}" maximized="1" windowWidth="0" windowHeight="0" activeSheetId="0"/>
    <customWorkbookView name="Витязь (бело-синий, v1)" guid="{D6FFE382-6AC7-4FBD-80DB-C822CC0A738A}" maximized="1" windowWidth="0" windowHeight="0" activeSheetId="0"/>
    <customWorkbookView name="Витязь (бело-синий, v2)" guid="{990E912A-983B-44D4-9C70-A718F71D2383}" maximized="1" windowWidth="0" windowHeight="0" activeSheetId="0"/>
    <customWorkbookView name="Плоттерная резка" guid="{7F27ACDA-738E-459A-99E9-3CEAFC3B1173}" maximized="1" windowWidth="0" windowHeight="0" activeSheetId="0"/>
    <customWorkbookView name="71-623 (оранжевый)" guid="{0F3E6D80-C792-4C7E-B2DF-A84ED1F22D27}" maximized="1" windowWidth="0" windowHeight="0" activeSheetId="0"/>
    <customWorkbookView name="Витязь (синий)" guid="{B9624E51-7E0D-4FA6-898D-59CBA21D55BD}" maximized="1" windowWidth="0" windowHeight="0" activeSheetId="0"/>
    <customWorkbookView name="не переделанные" guid="{5EB0A988-040A-43B1-983A-6D292D19652D}" maximized="1" windowWidth="0" windowHeight="0" activeSheetId="0"/>
    <customWorkbookView name="71-623 (синий)" guid="{2115332B-98E2-4659-851B-DE767A1AC248}" maximized="1" windowWidth="0" windowHeight="0" activeSheetId="0"/>
    <customWorkbookView name="71-414" guid="{94B307B8-CB87-4928-9215-1EA0B5FB5251}" maximized="1" windowWidth="0" windowHeight="0" activeSheetId="0"/>
    <customWorkbookView name="Львёнок" guid="{CA5C218C-3E27-4652-92A9-097F0D2A715A}" maximized="1" windowWidth="0" windowHeight="0" activeSheetId="0"/>
    <customWorkbookView name="Только бортовые номера" guid="{D542E165-45F9-4A90-ABAF-00A346C115A4}" maximized="1" windowWidth="0" windowHeight="0" activeSheetId="0"/>
    <customWorkbookView name="Витязь (серо-красный)" guid="{AEB2FDEF-C615-4358-B56B-EA0F9CA9849D}" maximized="1" windowWidth="0" windowHeight="0" activeSheetId="0"/>
    <customWorkbookView name="Пантюхов Андрей - Личное представление" guid="{BB181248-4B8C-4301-BEA4-4A6CDC3FFF37}" mergeInterval="0" personalView="1" maximized="1" xWindow="-8" yWindow="-8" windowWidth="1936" windowHeight="1056" activeSheetId="1"/>
  </customWorkbookViews>
</workbook>
</file>

<file path=xl/calcChain.xml><?xml version="1.0" encoding="utf-8"?>
<calcChain xmlns="http://schemas.openxmlformats.org/spreadsheetml/2006/main">
  <c r="AC26" i="7" l="1"/>
  <c r="K26" i="7"/>
  <c r="AC60" i="7" l="1"/>
  <c r="K60" i="7"/>
  <c r="AC59" i="7"/>
  <c r="K59" i="7"/>
  <c r="AC58" i="7"/>
  <c r="K58" i="7"/>
  <c r="AC57" i="7"/>
  <c r="K57" i="7"/>
  <c r="AC56" i="7"/>
  <c r="K56" i="7"/>
  <c r="AC55" i="7"/>
  <c r="K55" i="7"/>
  <c r="AC54" i="7"/>
  <c r="K54" i="7"/>
  <c r="AC53" i="7"/>
  <c r="K53" i="7"/>
  <c r="AC52" i="7"/>
  <c r="K52" i="7"/>
  <c r="AC51" i="7"/>
  <c r="K51" i="7"/>
  <c r="AC50" i="7"/>
  <c r="K50" i="7"/>
  <c r="AC49" i="7"/>
  <c r="K49" i="7"/>
  <c r="AC48" i="7"/>
  <c r="K48" i="7"/>
  <c r="AC47" i="7"/>
  <c r="K47" i="7"/>
  <c r="AC46" i="7"/>
  <c r="K46" i="7"/>
  <c r="AC45" i="7"/>
  <c r="K45" i="7"/>
  <c r="AC44" i="7"/>
  <c r="K44" i="7"/>
  <c r="AC43" i="7"/>
  <c r="K43" i="7"/>
  <c r="AC42" i="7"/>
  <c r="K42" i="7"/>
  <c r="AC41" i="7"/>
  <c r="K41" i="7"/>
  <c r="AC40" i="7"/>
  <c r="K40" i="7"/>
  <c r="AC39" i="7"/>
  <c r="K39" i="7"/>
  <c r="AC38" i="7"/>
  <c r="K38" i="7"/>
  <c r="AC37" i="7"/>
  <c r="K37" i="7"/>
  <c r="AC36" i="7"/>
  <c r="K36" i="7"/>
  <c r="AC35" i="7"/>
  <c r="AC34" i="7"/>
  <c r="K34" i="7"/>
  <c r="AC33" i="7"/>
  <c r="K33" i="7"/>
  <c r="AC32" i="7"/>
  <c r="K32" i="7"/>
  <c r="AC31" i="7"/>
  <c r="K31" i="7"/>
  <c r="AC30" i="7"/>
  <c r="K30" i="7"/>
  <c r="AC29" i="7"/>
  <c r="K29" i="7"/>
  <c r="AC28" i="7"/>
  <c r="K28" i="7"/>
  <c r="AC27" i="7"/>
  <c r="K27" i="7"/>
  <c r="AC25" i="7"/>
  <c r="K25" i="7"/>
  <c r="AC24" i="7"/>
  <c r="K24" i="7"/>
  <c r="AC23" i="7"/>
  <c r="K23" i="7"/>
  <c r="AC22" i="7"/>
  <c r="K22" i="7"/>
  <c r="AC21" i="7"/>
  <c r="K21" i="7"/>
  <c r="AC20" i="7"/>
  <c r="K20" i="7"/>
  <c r="AC19" i="7"/>
  <c r="K19" i="7"/>
  <c r="AC18" i="7"/>
  <c r="K18" i="7"/>
  <c r="AC17" i="7"/>
  <c r="AC16" i="7"/>
  <c r="K16" i="7"/>
  <c r="AC15" i="7"/>
  <c r="K15" i="7"/>
  <c r="AC14" i="7"/>
  <c r="K14" i="7"/>
  <c r="AC13" i="7"/>
  <c r="K13" i="7"/>
  <c r="AC12" i="7"/>
  <c r="K12" i="7"/>
  <c r="AC11" i="7"/>
  <c r="K11" i="7"/>
  <c r="AC10" i="7"/>
  <c r="AC9" i="7"/>
  <c r="AC8" i="7"/>
  <c r="AC7" i="7"/>
  <c r="AC6" i="7"/>
  <c r="K6" i="7"/>
  <c r="AC5" i="7"/>
  <c r="K5" i="7"/>
  <c r="AC4" i="7"/>
  <c r="K4" i="7"/>
  <c r="AC3" i="7"/>
  <c r="K3" i="7"/>
</calcChain>
</file>

<file path=xl/sharedStrings.xml><?xml version="1.0" encoding="utf-8"?>
<sst xmlns="http://schemas.openxmlformats.org/spreadsheetml/2006/main" count="1220" uniqueCount="400">
  <si>
    <t>Индекс как в МГТ</t>
  </si>
  <si>
    <t>Старый индекс</t>
  </si>
  <si>
    <t>Старый размер</t>
  </si>
  <si>
    <t>Размер</t>
  </si>
  <si>
    <t>Материал</t>
  </si>
  <si>
    <t>Дата</t>
  </si>
  <si>
    <t>Версия</t>
  </si>
  <si>
    <t>🔄 Имя файла</t>
  </si>
  <si>
    <t>Описание</t>
  </si>
  <si>
    <r>
      <rPr>
        <b/>
        <sz val="8"/>
        <color theme="1"/>
        <rFont val="Arial"/>
        <family val="2"/>
        <charset val="204"/>
      </rPr>
      <t xml:space="preserve">71-623 </t>
    </r>
    <r>
      <rPr>
        <sz val="8"/>
        <color theme="1"/>
        <rFont val="Arial"/>
        <family val="2"/>
        <charset val="204"/>
      </rPr>
      <t>(оранжевый)</t>
    </r>
  </si>
  <si>
    <r>
      <rPr>
        <b/>
        <sz val="8"/>
        <color theme="1"/>
        <rFont val="Arial"/>
        <family val="2"/>
        <charset val="204"/>
      </rPr>
      <t xml:space="preserve">71-623 </t>
    </r>
    <r>
      <rPr>
        <sz val="8"/>
        <color theme="1"/>
        <rFont val="Arial"/>
        <family val="2"/>
        <charset val="204"/>
      </rPr>
      <t>(синий)</t>
    </r>
  </si>
  <si>
    <t>PESA Fokstrot</t>
  </si>
  <si>
    <r>
      <rPr>
        <b/>
        <sz val="8"/>
        <color theme="1"/>
        <rFont val="Arial"/>
        <family val="2"/>
        <charset val="204"/>
      </rPr>
      <t>Витязь</t>
    </r>
    <r>
      <rPr>
        <sz val="8"/>
        <color theme="1"/>
        <rFont val="Arial"/>
        <family val="2"/>
        <charset val="204"/>
      </rPr>
      <t xml:space="preserve"> (серо-красный)</t>
    </r>
  </si>
  <si>
    <r>
      <rPr>
        <b/>
        <sz val="8"/>
        <color theme="1"/>
        <rFont val="Arial"/>
        <family val="2"/>
        <charset val="204"/>
      </rPr>
      <t xml:space="preserve">Витязь </t>
    </r>
    <r>
      <rPr>
        <sz val="8"/>
        <color theme="1"/>
        <rFont val="Arial"/>
        <family val="2"/>
        <charset val="204"/>
      </rPr>
      <t>(синий)</t>
    </r>
  </si>
  <si>
    <r>
      <rPr>
        <b/>
        <sz val="8"/>
        <color theme="1"/>
        <rFont val="Arial"/>
        <family val="2"/>
        <charset val="204"/>
      </rPr>
      <t xml:space="preserve">Витязь </t>
    </r>
    <r>
      <rPr>
        <sz val="8"/>
        <color theme="1"/>
        <rFont val="Arial"/>
        <family val="2"/>
        <charset val="204"/>
      </rPr>
      <t>(бело-синий, v1)</t>
    </r>
  </si>
  <si>
    <r>
      <rPr>
        <b/>
        <sz val="8"/>
        <color theme="1"/>
        <rFont val="Arial"/>
        <family val="2"/>
        <charset val="204"/>
      </rPr>
      <t xml:space="preserve">Витязь </t>
    </r>
    <r>
      <rPr>
        <sz val="8"/>
        <color theme="1"/>
        <rFont val="Arial"/>
        <family val="2"/>
        <charset val="204"/>
      </rPr>
      <t>(бело-синий, v2)</t>
    </r>
  </si>
  <si>
    <r>
      <rPr>
        <b/>
        <sz val="8"/>
        <color theme="1"/>
        <rFont val="Arial"/>
        <family val="2"/>
        <charset val="204"/>
      </rPr>
      <t xml:space="preserve">Витязь </t>
    </r>
    <r>
      <rPr>
        <sz val="8"/>
        <color theme="1"/>
        <rFont val="Arial"/>
        <family val="2"/>
        <charset val="204"/>
      </rPr>
      <t>(бело-синий, v3)</t>
    </r>
  </si>
  <si>
    <t>Львёнок</t>
  </si>
  <si>
    <t>Баумана</t>
  </si>
  <si>
    <t>Краснопресненское</t>
  </si>
  <si>
    <t>Октябрьское</t>
  </si>
  <si>
    <t>Русакова</t>
  </si>
  <si>
    <t>Всего</t>
  </si>
  <si>
    <t>Ссылка на макет</t>
  </si>
  <si>
    <t>01</t>
  </si>
  <si>
    <t>BUS_info_main_435×590_210514</t>
  </si>
  <si>
    <t>435x590</t>
  </si>
  <si>
    <t>info_ac</t>
  </si>
  <si>
    <t>435x580</t>
  </si>
  <si>
    <t>Информация</t>
  </si>
  <si>
    <t>С кондиционером</t>
  </si>
  <si>
    <t>Самоклеящаяся пленка (белая матовая) ORACAL 620 с легкосъемной клеевой основой, не оставляющей следов клея после демонтажа. УФ-печать 4+0 с плоттерной резкой. Ламинация Матовая</t>
  </si>
  <si>
    <t>BUS_info_main_no_conditioner_435×590_210514</t>
  </si>
  <si>
    <t>01a</t>
  </si>
  <si>
    <t>info_no-ac</t>
  </si>
  <si>
    <t>_пвх</t>
  </si>
  <si>
    <t>Без кондиционера</t>
  </si>
  <si>
    <t>Табличка ПВХ 4 мм, печать 4+0, Ламинация матовая, резка по контуру.</t>
  </si>
  <si>
    <t>02</t>
  </si>
  <si>
    <t>BUS_info_driver_black_500×90_210514</t>
  </si>
  <si>
    <t>500x90</t>
  </si>
  <si>
    <t>voditel</t>
  </si>
  <si>
    <t>380x80</t>
  </si>
  <si>
    <t>Водители не продают билеты</t>
  </si>
  <si>
    <t>Чёрная</t>
  </si>
  <si>
    <t>https://drive.google.com/file/d/1D16yY4ZIAdOJnGaWh6aFsiap-rjNFDeC/view?usp=sharing</t>
  </si>
  <si>
    <t>140x170</t>
  </si>
  <si>
    <t>130x115</t>
  </si>
  <si>
    <t>_прозр</t>
  </si>
  <si>
    <t>Можно оплатить банковской картой</t>
  </si>
  <si>
    <t>Чёрный</t>
  </si>
  <si>
    <t>Самоклеящаяся пленка (прозрачная) ORACAL с легкосъемной клеевой основой, не оставляющей следов клея после демонтажа. УФ-печать с плоттерной резкой.</t>
  </si>
  <si>
    <t>BUS_ext_bank_card_white_140×170_210514</t>
  </si>
  <si>
    <t>05b</t>
  </si>
  <si>
    <t>bank_card_white</t>
  </si>
  <si>
    <t>Белый</t>
  </si>
  <si>
    <t>BUS_ext_bank_card_white_90×170_210514</t>
  </si>
  <si>
    <t>90x170</t>
  </si>
  <si>
    <t>05c</t>
  </si>
  <si>
    <t>90x135</t>
  </si>
  <si>
    <t>Белый (уменьшенный)</t>
  </si>
  <si>
    <t>06</t>
  </si>
  <si>
    <t>BUS_emerg_fire_90×90_210119</t>
  </si>
  <si>
    <t>90x90</t>
  </si>
  <si>
    <t>ognet</t>
  </si>
  <si>
    <t>Огнетушитель</t>
  </si>
  <si>
    <t>https://drive.google.com/file/d/1DAA51H-1-9osqKtnrTDAh2nFI_8URorj/view?usp=sharing</t>
  </si>
  <si>
    <t>07</t>
  </si>
  <si>
    <t>BUS_emerg_first_aid_90×90_210119</t>
  </si>
  <si>
    <t>apt</t>
  </si>
  <si>
    <t>09</t>
  </si>
  <si>
    <t>BUS_emerg_window_250×100_210118</t>
  </si>
  <si>
    <t>250x100</t>
  </si>
  <si>
    <t>zap_vyh</t>
  </si>
  <si>
    <t>175x100</t>
  </si>
  <si>
    <t>_двухстор</t>
  </si>
  <si>
    <t>Запасный выход (окно), двусторонний</t>
  </si>
  <si>
    <t>Оракал 620, двусторонняя печать с клеевым слоем на лице (бутерброд с блокирующим слоем)</t>
  </si>
  <si>
    <t>https://drive.google.com/file/d/1LtkSHI_oKwW-QZ1Fv4OJMHrom1k95VH2/view?usp=sharing</t>
  </si>
  <si>
    <t>10</t>
  </si>
  <si>
    <t>BUS_emerg_door_unlock_button_60×90_210514</t>
  </si>
  <si>
    <t>60x90</t>
  </si>
  <si>
    <t>avar_door</t>
  </si>
  <si>
    <t>60x65</t>
  </si>
  <si>
    <t>Аварийное открытие дверей</t>
  </si>
  <si>
    <t>Кнопка</t>
  </si>
  <si>
    <t>https://drive.google.com/file/d/1Dap6_lSxMSnpno_BunUv2HSfNps5pymN/view?usp=sharing</t>
  </si>
  <si>
    <t>BUS_emerg_71-931M_door_unlock_up_70×100_210514</t>
  </si>
  <si>
    <t>70x100</t>
  </si>
  <si>
    <t>10a</t>
  </si>
  <si>
    <t>70x75</t>
  </si>
  <si>
    <t>Рычаг с крышкой (поднять вверх)</t>
  </si>
  <si>
    <t>https://drive.google.com/file/d/1DafROvG-K3tUJPCoMm24RQKOK5tB_gGy/view?usp=sharing</t>
  </si>
  <si>
    <t>BUS_emerg_71-931M_door_unlock_down_110×100_210514</t>
  </si>
  <si>
    <t>110x100</t>
  </si>
  <si>
    <t>10b</t>
  </si>
  <si>
    <t>110x75</t>
  </si>
  <si>
    <t>Рычаг (опустить вниз)</t>
  </si>
  <si>
    <t>https://drive.google.com/file/d/1D_m-ki1InRVHoeghAGNUZGHmz6BRRVrj/view?usp=sharing</t>
  </si>
  <si>
    <t>11</t>
  </si>
  <si>
    <t>BUS_info_exit_belongings_330×75_210514</t>
  </si>
  <si>
    <t>330x75</t>
  </si>
  <si>
    <t>vyh</t>
  </si>
  <si>
    <t>13</t>
  </si>
  <si>
    <t>BUS_seat_wheelchair_instructions_380×110_210514</t>
  </si>
  <si>
    <t>380x110</t>
  </si>
  <si>
    <t>info_invld</t>
  </si>
  <si>
    <t>290x110</t>
  </si>
  <si>
    <t>Место для инвалидной коляски</t>
  </si>
  <si>
    <t>https://drive.google.com/file/d/1DbTX_5rGV1-v1AigTyI_iWqizc3aEf4q/view?usp=sharing</t>
  </si>
  <si>
    <t>14</t>
  </si>
  <si>
    <t>BUS_seat_stroller_blue_90×90_210118</t>
  </si>
  <si>
    <t>klsk_salon</t>
  </si>
  <si>
    <t>Коляска (круглый синий)</t>
  </si>
  <si>
    <t>https://drive.google.com/file/d/1DbQYYP8KOt3Ih3s2cZldpuOlBo6GfWYy/view?usp=sharing</t>
  </si>
  <si>
    <t>14a</t>
  </si>
  <si>
    <t>BUS_seat_bicycle_blue_90×90_210118</t>
  </si>
  <si>
    <t>15</t>
  </si>
  <si>
    <t>vel_salon</t>
  </si>
  <si>
    <t>Велосипед (круглый синий)</t>
  </si>
  <si>
    <t>https://drive.google.com/file/d/1Dluk9DxfJ0ekQC9UfCjPTupNoGywYvyG/view?usp=sharing</t>
  </si>
  <si>
    <t>15a</t>
  </si>
  <si>
    <t>BUS_seat_elderly_blue_left_90×90_210118</t>
  </si>
  <si>
    <t>16L</t>
  </si>
  <si>
    <t>pogyl_salon_lev</t>
  </si>
  <si>
    <t>Пожилой пассажир (круглый синий)</t>
  </si>
  <si>
    <t>Влево</t>
  </si>
  <si>
    <t>https://drive.google.com/file/d/1DlWn6uZBHyoji47wDW0p2HvksM5rkFpO/view?usp=sharing</t>
  </si>
  <si>
    <t>BUS_seat_elderly_blue_right_90×90_210118</t>
  </si>
  <si>
    <t>16R</t>
  </si>
  <si>
    <t>pogyl_salon_prav</t>
  </si>
  <si>
    <t>Вправо</t>
  </si>
  <si>
    <t>https://drive.google.com/file/d/1Do_w4bbfcqqaolM9irKkDdzS-vh3yWDu/view?usp=sharing</t>
  </si>
  <si>
    <t>16a</t>
  </si>
  <si>
    <t>BUS_seat_child_blue_left_90×90_210118</t>
  </si>
  <si>
    <t>17L</t>
  </si>
  <si>
    <t>s_det_salon_lev</t>
  </si>
  <si>
    <t>Пассажир с ребёнком (круглый синий)</t>
  </si>
  <si>
    <t>https://drive.google.com/file/d/1DnY2x9MisRvyODXRq7hGMYshQGWvAfZb/view?usp=sharing</t>
  </si>
  <si>
    <t>16</t>
  </si>
  <si>
    <t>BUS_seat_child_blue_right_90×90_210118</t>
  </si>
  <si>
    <t>17R</t>
  </si>
  <si>
    <t>s_det_salon_prav</t>
  </si>
  <si>
    <t>https://drive.google.com/file/d/1DorFVhIvRjjU_06CtX6nyVO49eq9_-H1/view?usp=sharing</t>
  </si>
  <si>
    <t>17</t>
  </si>
  <si>
    <t>BUS_seat_dog_instructions_230×110_210514</t>
  </si>
  <si>
    <t>230x110</t>
  </si>
  <si>
    <t>18</t>
  </si>
  <si>
    <t>info_sobaka</t>
  </si>
  <si>
    <t>185x110</t>
  </si>
  <si>
    <t>https://drive.google.com/file/d/1pZNcgUXJYgO-kg0HvpWXwfoaGHvzxtY3/view?usp=share_link</t>
  </si>
  <si>
    <t>BUS_info_call_driver_90×50_210514</t>
  </si>
  <si>
    <t>90x50</t>
  </si>
  <si>
    <t>19</t>
  </si>
  <si>
    <t>signal</t>
  </si>
  <si>
    <t>20</t>
  </si>
  <si>
    <t>21</t>
  </si>
  <si>
    <t>pomosch_chor_center</t>
  </si>
  <si>
    <t>143x83</t>
  </si>
  <si>
    <t>Вызов водителя для помощи с коляской</t>
  </si>
  <si>
    <t>BUS_info_driver_assistance_white_left_143×83_210514</t>
  </si>
  <si>
    <t>pomosch_bel_lev</t>
  </si>
  <si>
    <t>Левосторонний, белый</t>
  </si>
  <si>
    <t>22a</t>
  </si>
  <si>
    <t>BUS_info_doors_do_not_lean_250×100_210514</t>
  </si>
  <si>
    <t>24</t>
  </si>
  <si>
    <t>ne_prisl</t>
  </si>
  <si>
    <t>205x30</t>
  </si>
  <si>
    <t>Не прислоняться</t>
  </si>
  <si>
    <t>Без блока «Двери открываются внутрь»</t>
  </si>
  <si>
    <t>https://drive.google.com/file/d/1LzRNRGpq5NdyGmdHyUl1YIg2cnOUvWN_/view?usp=sharing</t>
  </si>
  <si>
    <t>22</t>
  </si>
  <si>
    <t>BUS_info_doors_open_inwards_160×40_210514</t>
  </si>
  <si>
    <t>160x40</t>
  </si>
  <si>
    <t>24a</t>
  </si>
  <si>
    <t>155x20</t>
  </si>
  <si>
    <t>Двери открываются внутрь</t>
  </si>
  <si>
    <t>https://drive.google.com/file/d/1Lxot40XyHCAcmpt9lP40Fgni1MnR8eHV/view?usp=sharing</t>
  </si>
  <si>
    <t>_резка_чёр</t>
  </si>
  <si>
    <t>Бортовой номер</t>
  </si>
  <si>
    <t>Самоклеящаяся пленка (Черная матовая) ORACAL 641,плоттерной резкой и переноской (монтажная пленка)</t>
  </si>
  <si>
    <t>BUS_emerg_brake_90×60_210514</t>
  </si>
  <si>
    <t>90x60</t>
  </si>
  <si>
    <t>29a</t>
  </si>
  <si>
    <t>avar_tormoz</t>
  </si>
  <si>
    <t>90x42</t>
  </si>
  <si>
    <t>Аварийный тормоз</t>
  </si>
  <si>
    <t>На ручку</t>
  </si>
  <si>
    <t>https://drive.google.com/file/d/1MCIFNuzwvX_eclj9yZGIAS6ECU24Y2g2/view?usp=sharing</t>
  </si>
  <si>
    <t>BUS_emerg_brake_71-623_15×110_210514</t>
  </si>
  <si>
    <t>15x110</t>
  </si>
  <si>
    <t>29b</t>
  </si>
  <si>
    <t>15x95</t>
  </si>
  <si>
    <t>Узкий вертикальный</t>
  </si>
  <si>
    <t>https://drive.google.com/file/d/1MC70DEIMuI_crmfV9neNCluUUYFH5efH/view?usp=sharing</t>
  </si>
  <si>
    <t>29c</t>
  </si>
  <si>
    <t>50x45</t>
  </si>
  <si>
    <t>На корпус стоп-крана</t>
  </si>
  <si>
    <t>https://drive.google.com/file/d/1MB_PtAzdDz66jB79HV2k_-sWc28c61t3/view?usp=sharing</t>
  </si>
  <si>
    <t>130x130</t>
  </si>
  <si>
    <t>30a</t>
  </si>
  <si>
    <t>BUS_ext_wheelchair_130×130_210514</t>
  </si>
  <si>
    <t>31</t>
  </si>
  <si>
    <t>invld_korp</t>
  </si>
  <si>
    <t>390x130</t>
  </si>
  <si>
    <t>Инвалидная коляска (круглый, вход)</t>
  </si>
  <si>
    <t>https://drive.google.com/file/d/1oDTTOx_9QAeduFtk8q1immVHmMClAeyM/view?usp=share_link</t>
  </si>
  <si>
    <t>30b</t>
  </si>
  <si>
    <t>BUS_ext_stroller_130×130_210514</t>
  </si>
  <si>
    <t>32</t>
  </si>
  <si>
    <t>klsk_korp</t>
  </si>
  <si>
    <t>520x130</t>
  </si>
  <si>
    <t>Коляска (круглый, вход)</t>
  </si>
  <si>
    <t>Самоклеящаяся пленка (белая матовая) ORACAL 620 с легкосъемной клеевой основой, не оставляющей следов клея после демонтажа. УФ-печать 4+0 с плоттерной резкой. Ламинация Матовая (монтажная пленка/переноска)</t>
  </si>
  <si>
    <t>https://drive.google.com/file/d/1gFyF6BgiUHQ_lKJ2PiGdIPz_X4qHtlaS/view?usp=share_link</t>
  </si>
  <si>
    <t>BUS_ext_stroller_door_248×302_210118</t>
  </si>
  <si>
    <t>248x302</t>
  </si>
  <si>
    <t>34</t>
  </si>
  <si>
    <t>klsk_dver</t>
  </si>
  <si>
    <t>_резка</t>
  </si>
  <si>
    <t>Коляска (на дверь)</t>
  </si>
  <si>
    <t>Самоклеящаяся пленка (белая матовая) ORACAL 641,плоттерной резкой и переноской (монтажная пленка)</t>
  </si>
  <si>
    <t>https://drive.google.com/file/d/1MPUyf7Nxe3nNrRM6i4Xo-q33ZhFFv391/view?usp=sharing</t>
  </si>
  <si>
    <t>BUS_ext_wheelchair_door_262×319_210118</t>
  </si>
  <si>
    <t>262x319</t>
  </si>
  <si>
    <t>35</t>
  </si>
  <si>
    <t>invld_dver</t>
  </si>
  <si>
    <t>Инвалидная коляска (на дверь)</t>
  </si>
  <si>
    <t>https://drive.google.com/file/d/1MOrmnpH1gWVg34zPgDheXBSSaUj-WXu4/view?usp=sharing</t>
  </si>
  <si>
    <t>33</t>
  </si>
  <si>
    <t>BUS_ext_bicycle_door_400×251_210118</t>
  </si>
  <si>
    <t>400x251</t>
  </si>
  <si>
    <t>36</t>
  </si>
  <si>
    <t>vel_dver</t>
  </si>
  <si>
    <t>400x252</t>
  </si>
  <si>
    <t>Велосипед (на дверь)</t>
  </si>
  <si>
    <t>https://drive.google.com/file/d/1MPyhM9b6O-CNP7VEBy1dqBTnbF5N6oNT/view?usp=sharing</t>
  </si>
  <si>
    <t>BUS_ext_MT_logo_full_red_500×145_210217</t>
  </si>
  <si>
    <t>500x145</t>
  </si>
  <si>
    <t>37a</t>
  </si>
  <si>
    <t>MT_logo_full_red</t>
  </si>
  <si>
    <t>490x142</t>
  </si>
  <si>
    <t>Логотип «Московский транспорт» (полный)</t>
  </si>
  <si>
    <t>Красный</t>
  </si>
  <si>
    <t>https://drive.google.com/file/d/1MRyrR_cvpLByJ5eE9BNZgEH3fl_otPsh/view?usp=sharing</t>
  </si>
  <si>
    <t>BUS_ext_MT_logo_full_white_500×145_210217</t>
  </si>
  <si>
    <t>37b</t>
  </si>
  <si>
    <t>MT_logo_full_white</t>
  </si>
  <si>
    <t>BUS_ext_MT_logo_white_205×240_210217</t>
  </si>
  <si>
    <t>205x240</t>
  </si>
  <si>
    <t>38</t>
  </si>
  <si>
    <t>MT_logo_white</t>
  </si>
  <si>
    <t>165x200</t>
  </si>
  <si>
    <t>Логотип «Московский транспорт»
(без подписи)</t>
  </si>
  <si>
    <t>Белый (20 см)</t>
  </si>
  <si>
    <t>https://drive.google.com/file/d/1MS-ayl-71-inTaYk3ycB3k1_-uuwYiFH/view?usp=sharing</t>
  </si>
  <si>
    <t>38a</t>
  </si>
  <si>
    <t>Белый (23 см)</t>
  </si>
  <si>
    <t>https://drive.google.com/file/d/1MTBh-oB35CJ30hPnRpYR5bxCeHqaiMF2/view?usp=sharing</t>
  </si>
  <si>
    <t>BUS_ext_MM_logo_red_380×340_210217</t>
  </si>
  <si>
    <t>380x340</t>
  </si>
  <si>
    <t>39a</t>
  </si>
  <si>
    <t>MM_logo_red</t>
  </si>
  <si>
    <t>_резка_кра</t>
  </si>
  <si>
    <t>Логотип «Московский метрополитен»</t>
  </si>
  <si>
    <t>Красный (34 см)</t>
  </si>
  <si>
    <t>Самоклеящаяся пленка, Красный оракал 032 (RAL 3028). Плоттерная резка, монтажная плёнка</t>
  </si>
  <si>
    <t>https://drive.google.com/file/d/1MXaUIVkXJyy4acbZ9FRomlSAwhK4m5G_/view?usp=sharing</t>
  </si>
  <si>
    <t>BUS_ext_MM_logo_white_380×340_210217</t>
  </si>
  <si>
    <t>39b</t>
  </si>
  <si>
    <t>MM_logo_white</t>
  </si>
  <si>
    <t>Белый (34 см)</t>
  </si>
  <si>
    <t>https://drive.google.com/file/d/1M_iyf3ZW9Ct5Yu7XGGNZlf9LgzpG0GZQ/view?usp=sharing</t>
  </si>
  <si>
    <t>BUS_ext_MM_logo_white_310×280_210217</t>
  </si>
  <si>
    <t>310x280</t>
  </si>
  <si>
    <t>39c</t>
  </si>
  <si>
    <t>Белый (28 см)</t>
  </si>
  <si>
    <t>https://drive.google.com/file/d/1MXkdYvibTjBq_lr8NbfUAlUJ0RacOdmY/view?usp=sharing</t>
  </si>
  <si>
    <t>BUS_ext_Moscow_red_380×340_210217</t>
  </si>
  <si>
    <t>40a</t>
  </si>
  <si>
    <t>gerb_red</t>
  </si>
  <si>
    <t>285x340</t>
  </si>
  <si>
    <t>Герб Москвы</t>
  </si>
  <si>
    <t>https://drive.google.com/file/d/1M_m1JdSF0ZvoMQ9oNXtCudhfno_f-AYW/view?usp=sharing</t>
  </si>
  <si>
    <t>37</t>
  </si>
  <si>
    <t>BUS_ext_Moscow_white_380×340_210217</t>
  </si>
  <si>
    <t>40b</t>
  </si>
  <si>
    <t>gerb_white</t>
  </si>
  <si>
    <t>https://drive.google.com/file/d/1MbY3OxnYIN1Qp1aENUR7wX4RYuMHoDfn/view?usp=sharing</t>
  </si>
  <si>
    <t>BUS_ext_Moscow_white_235×280_210217</t>
  </si>
  <si>
    <t>235x280</t>
  </si>
  <si>
    <t>40c</t>
  </si>
  <si>
    <t>https://drive.google.com/file/d/1Mc1TBO2yCPU5oU9EYJE4QNk0EovNHqZs/view?usp=sharing</t>
  </si>
  <si>
    <t>nomer_korp_black</t>
  </si>
  <si>
    <t>nomer_korp_white</t>
  </si>
  <si>
    <t>BUS_no_XXXXX_black_1450×450_210217</t>
  </si>
  <si>
    <t>1450x450</t>
  </si>
  <si>
    <t>43</t>
  </si>
  <si>
    <t>1450x430</t>
  </si>
  <si>
    <t>Крыша, чёрный</t>
  </si>
  <si>
    <t>BUS_no_XXXXX_white_1450×450_210217</t>
  </si>
  <si>
    <t>43a</t>
  </si>
  <si>
    <t>Крыша, белый</t>
  </si>
  <si>
    <t>40</t>
  </si>
  <si>
    <t>BUS_ext_jack_arrow_blue_90×90_210201</t>
  </si>
  <si>
    <t>44</t>
  </si>
  <si>
    <t>domkrat_blue</t>
  </si>
  <si>
    <t>_резка_син</t>
  </si>
  <si>
    <t>Место для домкрата</t>
  </si>
  <si>
    <t>Синий</t>
  </si>
  <si>
    <t>https://drive.google.com/file/d/1MjO74DREkNDXazEEAEmgmFsHJZspy6o5/view?usp=sharing</t>
  </si>
  <si>
    <t>BUS_ext_jack_arrow_white_90×90_210201</t>
  </si>
  <si>
    <t>44a</t>
  </si>
  <si>
    <t>domkrat_white</t>
  </si>
  <si>
    <t>https://drive.google.com/file/d/1MjQj_p928MXvXMy6gCUUn6MlCfDh2B_F/view?usp=sharing</t>
  </si>
  <si>
    <t>BUS_info_no_smoking_100×100_210118</t>
  </si>
  <si>
    <t>100x100</t>
  </si>
  <si>
    <t>45</t>
  </si>
  <si>
    <t>nekurit</t>
  </si>
  <si>
    <t>Не курить</t>
  </si>
  <si>
    <t>https://drive.google.com/file/d/1MjqRHS66-Q_gEpXFFd9kW72h9BsmQpOw/view?usp=sharing</t>
  </si>
  <si>
    <t>46</t>
  </si>
  <si>
    <t>vhod</t>
  </si>
  <si>
    <t>50x20</t>
  </si>
  <si>
    <t>Вход (над дверью)</t>
  </si>
  <si>
    <t>https://drive.google.com/file/d/1Lc2JJEUYdLOOnF9w95jABlk6k4TBBVdb/view?usp=sharing</t>
  </si>
  <si>
    <t>47</t>
  </si>
  <si>
    <t>uchenik</t>
  </si>
  <si>
    <t>200x184</t>
  </si>
  <si>
    <t>Ученик</t>
  </si>
  <si>
    <t>https://drive.google.com/file/d/1UJicfUKpTlg82226LZdFkzeA-7Cb94Ly/view?usp=drive_link</t>
  </si>
  <si>
    <t>48</t>
  </si>
  <si>
    <t>neopyit_voditel</t>
  </si>
  <si>
    <t>150x150</t>
  </si>
  <si>
    <t>Неопытный водитель</t>
  </si>
  <si>
    <t>https://drive.google.com/file/d/1YiLHlyUzYBgVKtkUclmI_YAF-P75Uoxl/view?usp=drive_link</t>
  </si>
  <si>
    <t>Информация на ПВХ</t>
  </si>
  <si>
    <t>Номер макета по паспорту</t>
  </si>
  <si>
    <t>Ячейки для заполнения необходимого кол-ва.
Заполнять только в цифровом формате без букв.</t>
  </si>
  <si>
    <t>Выход</t>
  </si>
  <si>
    <t>4а</t>
  </si>
  <si>
    <t>4b</t>
  </si>
  <si>
    <t>Самоклеящаяся пленка (белая матовая) ORACAL 620 с легкосъемной клеевой основой, не оставляющей следов клея после демонтажа. печать 4+0 с плоттерной резкой. Ламинация Матовая</t>
  </si>
  <si>
    <t>https://drive.google.com/file/d/1lz1d1Epa_leXjBZ1xZZJpwB2abhEYHzz/view?usp=drive_link</t>
  </si>
  <si>
    <t>tr_04a_culture_70x325_240503</t>
  </si>
  <si>
    <t>70х325</t>
  </si>
  <si>
    <t>https://drive.google.com/file/d/1yQrYABPFxfDOC1cjh1SWxjd-r8xvT9T7/view?usp=drive_link</t>
  </si>
  <si>
    <t>tr_04b_culture_275х70_240709</t>
  </si>
  <si>
    <t>275*70</t>
  </si>
  <si>
    <t>Культура поведения вертикальный</t>
  </si>
  <si>
    <t>https://drive.google.com/file/d/11xqRq8q4XM6IIN76kiq1SUl5DWAJmEZd/view?usp=drive_link</t>
  </si>
  <si>
    <t>https://drive.google.com/file/d/1LeOblExKFVAawrhbLT2tUj0PkDR-Himd/view?usp=drive_link</t>
  </si>
  <si>
    <t>tr_05b_bank_card_white_130x115_прозр_240709_v5</t>
  </si>
  <si>
    <t>tr_05c_bank_card_white_90x135_прозр_240709_v5</t>
  </si>
  <si>
    <t>https://drive.google.com/file/d/1ULQou6Blco8vuJsv_rQdxMHjrRMRdBqW/view?usp=drive_link</t>
  </si>
  <si>
    <t>tr_11_vyh_150x75_240703_v3</t>
  </si>
  <si>
    <t>150х75</t>
  </si>
  <si>
    <t>29d</t>
  </si>
  <si>
    <t>tr_29d_avar_tormoz_80x38_250121_v1</t>
  </si>
  <si>
    <t>80х38</t>
  </si>
  <si>
    <t>https://drive.google.com/file/d/1GUHu27AA1wzDRyN6k2uKu8nJfXCjS_aT/view?usp=drive_link</t>
  </si>
  <si>
    <t>Модель Вагона</t>
  </si>
  <si>
    <t>Бортовой номер ТС</t>
  </si>
  <si>
    <t>02a</t>
  </si>
  <si>
    <t>Сотрудники не продают билеты</t>
  </si>
  <si>
    <t>Аптечка в кабине</t>
  </si>
  <si>
    <t>макет в доработке</t>
  </si>
  <si>
    <t>70x45</t>
  </si>
  <si>
    <t>Связь с сотрудником</t>
  </si>
  <si>
    <t>Открыть дверь</t>
  </si>
  <si>
    <t>80x55</t>
  </si>
  <si>
    <t>200x178</t>
  </si>
  <si>
    <t>autopilot</t>
  </si>
  <si>
    <t>Автопилот</t>
  </si>
  <si>
    <t>https://drive.google.com/file/d/1i5ujxCCa4wY4tT3HqSEmyRh2nTdEFm-1/view?usp=drive_link</t>
  </si>
  <si>
    <t>190x70</t>
  </si>
  <si>
    <t>https://drive.google.com/file/d/1Ms5yqSuF5RzRyVnMzLH97guRDYVPB7ZR/view?usp=share_link</t>
  </si>
  <si>
    <t>https://drive.google.com/file/d/1DNezE1CSgSDWJj20hGWd5BYbHliGuYWZ/view?usp=share_link</t>
  </si>
  <si>
    <t>https://drive.google.com/file/d/1bEwmfV2YhsoYuqAoG7Ihwhpuqz-fxX0s/view?usp=share_link</t>
  </si>
  <si>
    <t>https://drive.google.com/file/d/19g3g68otUY1XQyHmrFVzlTSjY-4dWNW_/view?usp=share_link</t>
  </si>
  <si>
    <t>https://drive.google.com/file/d/1StQR1jExGKqSrSdTw-56tHGia4TN_UN_/view?usp=share_link</t>
  </si>
  <si>
    <t>https://drive.google.com/file/d/1iM9UmE-F7m9cPmLMMDJBgM2SvmOJmWgP/view?usp=share_link</t>
  </si>
  <si>
    <t>71-931М</t>
  </si>
  <si>
    <t>71-911ЕМ</t>
  </si>
  <si>
    <t>Апакова_ТРЗ</t>
  </si>
  <si>
    <t>71-9311ЕМ</t>
  </si>
  <si>
    <t>Культура поведения горизонтальный</t>
  </si>
  <si>
    <t>Место для собаки-проводник</t>
  </si>
  <si>
    <t>Самоклеящаяся пленка (прозрачная) ORACAL с легкосъемной клеевой основой, не оставляющей следов клея после демонтажа. УФ-печать 4+0 с плоттерной резкой.</t>
  </si>
  <si>
    <t>Самоклеящаяся пленка (прозрачная) ORACAL с легкосъемной клеевой основой, не оставляющей следов клея после демонтажа. УФ-печать 5+0 с плоттерной резкой.</t>
  </si>
  <si>
    <t>19a</t>
  </si>
  <si>
    <t>60x45</t>
  </si>
  <si>
    <t>https://drive.google.com/file/d/137ES2io1Rr1Rah2BthdKG6tgXMs7h5LG/view?usp=share_link</t>
  </si>
  <si>
    <t>https://drive.google.com/file/d/12qj3O8Xr8kyYFlC0BKaLUiuoyam9HK1U/view?usp=share_link</t>
  </si>
  <si>
    <t>Передний (светоотражающий)
кол-во шт</t>
  </si>
  <si>
    <t>Салонный 
(черный оракал) 
кол-во шт</t>
  </si>
  <si>
    <t>Боковой
(черный орауал)
кол-во шт</t>
  </si>
  <si>
    <t>Задний 
(белый оракал)</t>
  </si>
  <si>
    <t>Боковой 
(белый оракал)
кол-во шт</t>
  </si>
  <si>
    <t>Боковой
(черный оракал)
кол-во 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</si>
</sst>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0"/>
      <color rgb="FF000000"/>
      <name val="Arial"/>
      <scheme val="minor"/>
    </font>
    <font>
      <sz val="10"/>
      <color rgb="FF999999"/>
      <name val="Roboto Mono"/>
    </font>
    <font>
      <sz val="10"/>
      <color rgb="FF666666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b/>
      <sz val="10"/>
      <color theme="1"/>
      <name val="Arial"/>
      <family val="2"/>
      <charset val="204"/>
      <scheme val="minor"/>
    </font>
    <font>
      <b/>
      <sz val="8"/>
      <color theme="1"/>
      <name val="Arial"/>
      <family val="2"/>
      <charset val="204"/>
      <scheme val="minor"/>
    </font>
    <font>
      <b/>
      <sz val="14"/>
      <color theme="1"/>
      <name val="Arial"/>
      <family val="2"/>
      <charset val="204"/>
      <scheme val="minor"/>
    </font>
    <font>
      <sz val="8"/>
      <color rgb="FF666666"/>
      <name val="Arial"/>
      <family val="2"/>
      <charset val="204"/>
      <scheme val="minor"/>
    </font>
    <font>
      <sz val="8"/>
      <color theme="1"/>
      <name val="Arial"/>
      <family val="2"/>
      <charset val="204"/>
      <scheme val="minor"/>
    </font>
    <font>
      <sz val="8"/>
      <color rgb="FF000000"/>
      <name val="Arial"/>
      <family val="2"/>
      <charset val="204"/>
    </font>
    <font>
      <b/>
      <sz val="9"/>
      <color theme="1"/>
      <name val="Arial"/>
      <family val="2"/>
      <charset val="204"/>
      <scheme val="minor"/>
    </font>
    <font>
      <sz val="8"/>
      <color rgb="FF666666"/>
      <name val="Arial"/>
      <family val="2"/>
      <charset val="204"/>
    </font>
    <font>
      <b/>
      <sz val="10"/>
      <color theme="1"/>
      <name val="Roboto Mono"/>
    </font>
    <font>
      <i/>
      <sz val="8"/>
      <color rgb="FF000000"/>
      <name val="Arial"/>
      <family val="2"/>
      <charset val="204"/>
    </font>
    <font>
      <i/>
      <sz val="8"/>
      <color theme="1"/>
      <name val="Arial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theme="1"/>
      <name val="Roboto Mono"/>
    </font>
    <font>
      <b/>
      <sz val="10"/>
      <color rgb="FF351C75"/>
      <name val="Roboto"/>
    </font>
    <font>
      <sz val="10"/>
      <color rgb="FF000000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sz val="8"/>
      <color rgb="FF666666"/>
      <name val="&quot;Arial&quot;"/>
    </font>
    <font>
      <sz val="10"/>
      <color rgb="FF000000"/>
      <name val="&quot;Arial&quot;"/>
    </font>
    <font>
      <sz val="8"/>
      <color rgb="FF000000"/>
      <name val="&quot;Arial&quot;"/>
    </font>
    <font>
      <sz val="10"/>
      <color rgb="FF666666"/>
      <name val="&quot;Arial&quot;"/>
    </font>
    <font>
      <sz val="10"/>
      <color rgb="FF000000"/>
      <name val="&quot;Arial&quot;"/>
    </font>
    <font>
      <sz val="10"/>
      <color rgb="FF666666"/>
      <name val="Arial"/>
      <family val="2"/>
      <charset val="204"/>
    </font>
    <font>
      <b/>
      <sz val="10"/>
      <color rgb="FF000000"/>
      <name val="Roboto Mono"/>
    </font>
    <font>
      <sz val="10"/>
      <color rgb="FF000000"/>
      <name val="Roboto Mono"/>
    </font>
    <font>
      <sz val="10"/>
      <color rgb="FF000000"/>
      <name val="Arial"/>
      <family val="2"/>
      <charset val="204"/>
      <scheme val="minor"/>
    </font>
    <font>
      <b/>
      <sz val="8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theme="1"/>
      <name val="Roboto"/>
    </font>
    <font>
      <b/>
      <sz val="8"/>
      <color rgb="FF002060"/>
      <name val="Arial"/>
      <family val="2"/>
      <charset val="204"/>
    </font>
    <font>
      <b/>
      <sz val="8"/>
      <color rgb="FF002060"/>
      <name val="Arial"/>
      <family val="2"/>
      <charset val="204"/>
      <scheme val="minor"/>
    </font>
    <font>
      <u/>
      <sz val="10"/>
      <color theme="10"/>
      <name val="Arial"/>
      <family val="2"/>
      <charset val="204"/>
      <scheme val="minor"/>
    </font>
    <font>
      <u/>
      <sz val="8"/>
      <color theme="10"/>
      <name val="Arial"/>
      <family val="2"/>
      <charset val="204"/>
      <scheme val="minor"/>
    </font>
    <font>
      <b/>
      <sz val="10"/>
      <color rgb="FF000000"/>
      <name val="Arial"/>
      <family val="2"/>
      <charset val="204"/>
      <scheme val="minor"/>
    </font>
    <font>
      <u/>
      <sz val="8"/>
      <color rgb="FF0000FF"/>
      <name val="Arial (Основной текст)_x0000_"/>
      <charset val="204"/>
    </font>
    <font>
      <u/>
      <sz val="8"/>
      <color theme="10"/>
      <name val="Arial (Основной текст)_x0000_"/>
      <charset val="204"/>
    </font>
    <font>
      <sz val="8"/>
      <color theme="1"/>
      <name val="Arial (Основной текст)_x0000_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rgb="FFF5F0FF"/>
        <bgColor rgb="FFF5F0FF"/>
      </patternFill>
    </fill>
    <fill>
      <patternFill patternType="solid">
        <fgColor rgb="FFF0FEFF"/>
        <bgColor rgb="FFF0FEFF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theme="0" tint="-4.9989318521683403E-2"/>
        <bgColor rgb="FFF5F0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5F0FF"/>
      </patternFill>
    </fill>
    <fill>
      <patternFill patternType="solid">
        <fgColor theme="7" tint="0.79998168889431442"/>
        <bgColor rgb="FFF5F0FF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rgb="FFFFFFFF"/>
      </patternFill>
    </fill>
    <fill>
      <patternFill patternType="solid">
        <fgColor rgb="FFCCECFF"/>
        <bgColor indexed="64"/>
      </patternFill>
    </fill>
    <fill>
      <patternFill patternType="solid">
        <fgColor rgb="FFCCECFF"/>
        <bgColor theme="0"/>
      </patternFill>
    </fill>
    <fill>
      <patternFill patternType="solid">
        <fgColor rgb="FFE7EDFF"/>
        <bgColor rgb="FFFFFFFF"/>
      </patternFill>
    </fill>
    <fill>
      <patternFill patternType="solid">
        <fgColor rgb="FFE7EDFF"/>
        <bgColor indexed="64"/>
      </patternFill>
    </fill>
    <fill>
      <patternFill patternType="solid">
        <fgColor theme="0"/>
        <bgColor rgb="FFF3F3F3"/>
      </patternFill>
    </fill>
    <fill>
      <patternFill patternType="solid">
        <fgColor theme="0"/>
        <bgColor rgb="FFFFFF00"/>
      </patternFill>
    </fill>
    <fill>
      <patternFill patternType="solid">
        <fgColor rgb="FFF2F2F2"/>
        <bgColor rgb="FFF2F2F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2">
    <xf numFmtId="0" fontId="0" fillId="0" borderId="0"/>
    <xf numFmtId="0" fontId="36" fillId="0" borderId="0" applyNumberFormat="0" applyFill="0" applyBorder="0" applyAlignment="0" applyProtection="0"/>
  </cellStyleXfs>
  <cellXfs count="140">
    <xf numFmtId="0" fontId="0" fillId="0" borderId="0" xfId="0"/>
    <xf numFmtId="1" fontId="6" fillId="21" borderId="1" xfId="0" applyNumberFormat="1" applyFont="1" applyFill="1" applyBorder="1" applyProtection="1">
      <protection locked="0"/>
    </xf>
    <xf numFmtId="1" fontId="6" fillId="12" borderId="1" xfId="0" applyNumberFormat="1" applyFont="1" applyFill="1" applyBorder="1" applyProtection="1">
      <protection locked="0"/>
    </xf>
    <xf numFmtId="1" fontId="6" fillId="22" borderId="1" xfId="0" applyNumberFormat="1" applyFont="1" applyFill="1" applyBorder="1" applyProtection="1">
      <protection locked="0"/>
    </xf>
    <xf numFmtId="0" fontId="4" fillId="21" borderId="1" xfId="0" applyFont="1" applyFill="1" applyBorder="1" applyProtection="1">
      <protection locked="0"/>
    </xf>
    <xf numFmtId="0" fontId="0" fillId="0" borderId="1" xfId="0" applyBorder="1"/>
    <xf numFmtId="0" fontId="38" fillId="10" borderId="1" xfId="0" applyFont="1" applyFill="1" applyBorder="1" applyAlignment="1">
      <alignment horizontal="center"/>
    </xf>
    <xf numFmtId="0" fontId="3" fillId="2" borderId="1" xfId="0" applyFont="1" applyFill="1" applyBorder="1" applyProtection="1"/>
    <xf numFmtId="0" fontId="3" fillId="2" borderId="1" xfId="0" applyFont="1" applyFill="1" applyBorder="1" applyAlignment="1" applyProtection="1">
      <alignment horizontal="left" textRotation="180"/>
    </xf>
    <xf numFmtId="0" fontId="5" fillId="0" borderId="1" xfId="0" applyFont="1" applyBorder="1" applyAlignment="1" applyProtection="1">
      <alignment wrapText="1"/>
    </xf>
    <xf numFmtId="0" fontId="7" fillId="5" borderId="1" xfId="0" applyFont="1" applyFill="1" applyBorder="1" applyAlignment="1" applyProtection="1">
      <alignment textRotation="90"/>
    </xf>
    <xf numFmtId="0" fontId="0" fillId="0" borderId="0" xfId="0" applyProtection="1"/>
    <xf numFmtId="49" fontId="33" fillId="14" borderId="1" xfId="0" applyNumberFormat="1" applyFont="1" applyFill="1" applyBorder="1" applyAlignment="1" applyProtection="1">
      <alignment horizontal="center" vertical="center" wrapText="1"/>
    </xf>
    <xf numFmtId="0" fontId="9" fillId="0" borderId="1" xfId="0" applyFont="1" applyBorder="1" applyAlignment="1" applyProtection="1">
      <alignment vertical="top" wrapText="1"/>
    </xf>
    <xf numFmtId="0" fontId="34" fillId="16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left" vertical="top"/>
    </xf>
    <xf numFmtId="0" fontId="9" fillId="0" borderId="1" xfId="0" applyFont="1" applyBorder="1" applyAlignment="1" applyProtection="1">
      <alignment horizontal="left" vertical="top"/>
    </xf>
    <xf numFmtId="0" fontId="9" fillId="0" borderId="1" xfId="0" applyFont="1" applyBorder="1" applyAlignment="1" applyProtection="1">
      <alignment horizontal="left" vertical="center" wrapText="1"/>
    </xf>
    <xf numFmtId="0" fontId="9" fillId="0" borderId="1" xfId="0" applyFont="1" applyBorder="1" applyAlignment="1" applyProtection="1">
      <alignment vertical="center" wrapText="1"/>
    </xf>
    <xf numFmtId="0" fontId="10" fillId="0" borderId="1" xfId="0" applyFont="1" applyBorder="1" applyAlignment="1" applyProtection="1">
      <alignment horizontal="left" vertical="center" wrapText="1"/>
    </xf>
    <xf numFmtId="1" fontId="11" fillId="5" borderId="1" xfId="0" applyNumberFormat="1" applyFont="1" applyFill="1" applyBorder="1" applyProtection="1"/>
    <xf numFmtId="0" fontId="34" fillId="19" borderId="1" xfId="0" applyFont="1" applyFill="1" applyBorder="1" applyAlignment="1" applyProtection="1">
      <alignment horizontal="center" vertical="center"/>
    </xf>
    <xf numFmtId="0" fontId="35" fillId="20" borderId="1" xfId="0" applyFont="1" applyFill="1" applyBorder="1" applyAlignment="1" applyProtection="1">
      <alignment horizontal="center" vertical="center" wrapText="1"/>
    </xf>
    <xf numFmtId="0" fontId="9" fillId="12" borderId="1" xfId="0" applyFont="1" applyFill="1" applyBorder="1" applyAlignment="1" applyProtection="1">
      <alignment horizontal="left" vertical="top" wrapText="1"/>
    </xf>
    <xf numFmtId="0" fontId="10" fillId="6" borderId="1" xfId="0" applyFont="1" applyFill="1" applyBorder="1" applyAlignment="1" applyProtection="1">
      <alignment horizontal="left" vertical="center" wrapText="1"/>
    </xf>
    <xf numFmtId="0" fontId="9" fillId="8" borderId="1" xfId="0" applyFont="1" applyFill="1" applyBorder="1" applyAlignment="1" applyProtection="1">
      <alignment vertical="top" wrapText="1"/>
    </xf>
    <xf numFmtId="0" fontId="35" fillId="18" borderId="1" xfId="0" applyFont="1" applyFill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vertical="center" wrapText="1"/>
    </xf>
    <xf numFmtId="0" fontId="35" fillId="17" borderId="1" xfId="0" applyFont="1" applyFill="1" applyBorder="1" applyAlignment="1" applyProtection="1">
      <alignment horizontal="center" vertical="center" wrapText="1"/>
    </xf>
    <xf numFmtId="49" fontId="18" fillId="9" borderId="0" xfId="0" applyNumberFormat="1" applyFont="1" applyFill="1" applyAlignment="1" applyProtection="1">
      <alignment horizontal="left" vertical="center" wrapText="1"/>
    </xf>
    <xf numFmtId="0" fontId="4" fillId="0" borderId="0" xfId="0" applyFont="1" applyAlignment="1" applyProtection="1">
      <alignment vertical="center" wrapText="1"/>
    </xf>
    <xf numFmtId="0" fontId="4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left" vertical="top" wrapText="1"/>
    </xf>
    <xf numFmtId="0" fontId="19" fillId="6" borderId="0" xfId="0" applyFont="1" applyFill="1" applyAlignment="1" applyProtection="1">
      <alignment horizontal="left" vertical="top"/>
    </xf>
    <xf numFmtId="0" fontId="10" fillId="6" borderId="0" xfId="0" applyFont="1" applyFill="1" applyAlignment="1" applyProtection="1">
      <alignment horizontal="left" vertical="top"/>
    </xf>
    <xf numFmtId="0" fontId="9" fillId="0" borderId="0" xfId="0" applyFont="1" applyAlignment="1" applyProtection="1">
      <alignment horizontal="left" vertical="top" wrapText="1"/>
    </xf>
    <xf numFmtId="0" fontId="4" fillId="0" borderId="0" xfId="0" applyFont="1" applyAlignment="1" applyProtection="1">
      <alignment vertical="center"/>
    </xf>
    <xf numFmtId="0" fontId="4" fillId="5" borderId="0" xfId="0" applyFont="1" applyFill="1" applyProtection="1"/>
    <xf numFmtId="0" fontId="20" fillId="0" borderId="0" xfId="0" applyFont="1" applyAlignment="1" applyProtection="1">
      <alignment horizontal="left" vertical="top"/>
    </xf>
    <xf numFmtId="0" fontId="9" fillId="0" borderId="0" xfId="0" applyFont="1" applyAlignment="1" applyProtection="1">
      <alignment horizontal="left" vertical="top"/>
    </xf>
    <xf numFmtId="0" fontId="4" fillId="0" borderId="0" xfId="0" applyFont="1" applyAlignment="1" applyProtection="1">
      <alignment horizontal="left" vertical="center" wrapText="1"/>
    </xf>
    <xf numFmtId="0" fontId="22" fillId="0" borderId="0" xfId="0" applyFont="1" applyAlignment="1" applyProtection="1">
      <alignment horizontal="left" vertical="top"/>
    </xf>
    <xf numFmtId="0" fontId="23" fillId="0" borderId="0" xfId="0" applyFont="1" applyAlignment="1" applyProtection="1">
      <alignment horizontal="left" vertical="top"/>
    </xf>
    <xf numFmtId="0" fontId="25" fillId="0" borderId="0" xfId="0" applyFont="1" applyAlignment="1" applyProtection="1">
      <alignment horizontal="left" vertical="top"/>
    </xf>
    <xf numFmtId="0" fontId="4" fillId="0" borderId="0" xfId="0" applyFont="1" applyAlignment="1" applyProtection="1">
      <alignment horizontal="left" vertical="top"/>
    </xf>
    <xf numFmtId="0" fontId="4" fillId="0" borderId="0" xfId="0" applyFont="1" applyAlignment="1" applyProtection="1">
      <alignment vertical="top" wrapText="1"/>
    </xf>
    <xf numFmtId="0" fontId="16" fillId="6" borderId="0" xfId="0" applyFont="1" applyFill="1" applyAlignment="1" applyProtection="1">
      <alignment horizontal="left" vertical="top"/>
    </xf>
    <xf numFmtId="0" fontId="16" fillId="6" borderId="0" xfId="0" applyFont="1" applyFill="1" applyAlignment="1" applyProtection="1">
      <alignment horizontal="left" vertical="top" wrapText="1"/>
    </xf>
    <xf numFmtId="0" fontId="20" fillId="0" borderId="0" xfId="0" applyFont="1" applyAlignment="1" applyProtection="1">
      <alignment horizontal="left" vertical="center"/>
    </xf>
    <xf numFmtId="0" fontId="19" fillId="6" borderId="0" xfId="0" applyFont="1" applyFill="1" applyAlignment="1" applyProtection="1">
      <alignment horizontal="left" vertical="center"/>
    </xf>
    <xf numFmtId="0" fontId="16" fillId="6" borderId="0" xfId="0" applyFont="1" applyFill="1" applyAlignment="1" applyProtection="1">
      <alignment horizontal="left" vertical="center" wrapText="1"/>
    </xf>
    <xf numFmtId="0" fontId="4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49" fontId="18" fillId="9" borderId="0" xfId="0" applyNumberFormat="1" applyFont="1" applyFill="1" applyAlignment="1" applyProtection="1">
      <alignment horizontal="left"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29" fillId="0" borderId="0" xfId="0" applyFont="1" applyAlignment="1" applyProtection="1">
      <alignment vertical="center" wrapText="1"/>
    </xf>
    <xf numFmtId="0" fontId="16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49" fontId="18" fillId="9" borderId="0" xfId="0" applyNumberFormat="1" applyFont="1" applyFill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20" fillId="0" borderId="0" xfId="0" applyFont="1" applyAlignment="1" applyProtection="1">
      <alignment horizontal="left"/>
    </xf>
    <xf numFmtId="0" fontId="0" fillId="0" borderId="0" xfId="0" applyAlignment="1" applyProtection="1">
      <alignment wrapText="1"/>
    </xf>
    <xf numFmtId="0" fontId="0" fillId="10" borderId="0" xfId="0" applyFill="1" applyProtection="1"/>
    <xf numFmtId="0" fontId="0" fillId="0" borderId="0" xfId="0" applyAlignment="1" applyProtection="1">
      <alignment horizontal="center" vertical="center"/>
    </xf>
    <xf numFmtId="0" fontId="11" fillId="4" borderId="7" xfId="0" applyFont="1" applyFill="1" applyBorder="1" applyAlignment="1" applyProtection="1">
      <alignment horizontal="centerContinuous" vertical="center" wrapText="1"/>
    </xf>
    <xf numFmtId="0" fontId="1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6" fillId="0" borderId="1" xfId="0" applyFont="1" applyBorder="1" applyAlignment="1" applyProtection="1">
      <alignment textRotation="90" wrapText="1"/>
      <protection locked="0"/>
    </xf>
    <xf numFmtId="0" fontId="5" fillId="4" borderId="1" xfId="0" applyFont="1" applyFill="1" applyBorder="1" applyAlignment="1" applyProtection="1">
      <alignment textRotation="90"/>
      <protection locked="0"/>
    </xf>
    <xf numFmtId="0" fontId="0" fillId="0" borderId="0" xfId="0" applyProtection="1">
      <protection locked="0"/>
    </xf>
    <xf numFmtId="0" fontId="11" fillId="4" borderId="5" xfId="0" applyFont="1" applyFill="1" applyBorder="1" applyAlignment="1" applyProtection="1">
      <alignment horizontal="centerContinuous" vertical="center" wrapText="1"/>
      <protection locked="0"/>
    </xf>
    <xf numFmtId="0" fontId="11" fillId="4" borderId="6" xfId="0" applyFont="1" applyFill="1" applyBorder="1" applyAlignment="1" applyProtection="1">
      <alignment horizontal="centerContinuous" vertical="center" wrapText="1"/>
      <protection locked="0"/>
    </xf>
    <xf numFmtId="49" fontId="1" fillId="0" borderId="0" xfId="0" applyNumberFormat="1" applyFont="1" applyAlignment="1" applyProtection="1">
      <alignment horizontal="right" vertical="top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9" fillId="0" borderId="1" xfId="0" applyNumberFormat="1" applyFont="1" applyBorder="1" applyAlignment="1" applyProtection="1">
      <alignment horizontal="right" vertical="center"/>
      <protection locked="0"/>
    </xf>
    <xf numFmtId="1" fontId="10" fillId="0" borderId="1" xfId="0" applyNumberFormat="1" applyFont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 applyProtection="1">
      <alignment horizontal="right" vertical="top" wrapText="1"/>
      <protection locked="0"/>
    </xf>
    <xf numFmtId="1" fontId="14" fillId="7" borderId="1" xfId="0" applyNumberFormat="1" applyFont="1" applyFill="1" applyBorder="1" applyAlignment="1" applyProtection="1">
      <alignment horizontal="right" vertical="center"/>
      <protection locked="0"/>
    </xf>
    <xf numFmtId="1" fontId="15" fillId="7" borderId="1" xfId="0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Alignment="1" applyProtection="1">
      <alignment vertical="center"/>
      <protection locked="0"/>
    </xf>
    <xf numFmtId="1" fontId="10" fillId="7" borderId="1" xfId="0" applyNumberFormat="1" applyFont="1" applyFill="1" applyBorder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12" fillId="6" borderId="0" xfId="0" applyFont="1" applyFill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4" borderId="0" xfId="0" applyFont="1" applyFill="1" applyProtection="1">
      <protection locked="0"/>
    </xf>
    <xf numFmtId="0" fontId="21" fillId="0" borderId="0" xfId="0" applyFont="1" applyAlignment="1" applyProtection="1">
      <alignment vertical="center"/>
      <protection locked="0"/>
    </xf>
    <xf numFmtId="0" fontId="24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6" fillId="6" borderId="0" xfId="0" applyFont="1" applyFill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 wrapText="1"/>
      <protection locked="0"/>
    </xf>
    <xf numFmtId="0" fontId="13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37" fillId="0" borderId="1" xfId="1" applyFont="1" applyBorder="1" applyAlignment="1" applyProtection="1">
      <alignment vertical="top"/>
      <protection locked="0"/>
    </xf>
    <xf numFmtId="0" fontId="39" fillId="0" borderId="1" xfId="0" applyFont="1" applyBorder="1" applyAlignment="1" applyProtection="1">
      <alignment vertical="center"/>
      <protection locked="0"/>
    </xf>
    <xf numFmtId="0" fontId="37" fillId="0" borderId="1" xfId="1" applyFont="1" applyBorder="1" applyAlignment="1" applyProtection="1">
      <alignment vertical="center"/>
      <protection locked="0"/>
    </xf>
    <xf numFmtId="0" fontId="40" fillId="0" borderId="1" xfId="1" applyFont="1" applyFill="1" applyBorder="1" applyAlignment="1" applyProtection="1">
      <alignment vertical="center"/>
      <protection locked="0"/>
    </xf>
    <xf numFmtId="0" fontId="40" fillId="0" borderId="1" xfId="1" applyFont="1" applyBorder="1" applyAlignment="1" applyProtection="1">
      <alignment vertical="center"/>
      <protection locked="0"/>
    </xf>
    <xf numFmtId="0" fontId="41" fillId="0" borderId="1" xfId="0" applyFont="1" applyBorder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42" fillId="23" borderId="8" xfId="0" applyFont="1" applyFill="1" applyBorder="1" applyAlignment="1">
      <alignment horizontal="center"/>
    </xf>
    <xf numFmtId="0" fontId="43" fillId="0" borderId="8" xfId="0" applyFont="1" applyBorder="1"/>
    <xf numFmtId="0" fontId="0" fillId="0" borderId="1" xfId="0" applyBorder="1"/>
    <xf numFmtId="0" fontId="38" fillId="10" borderId="1" xfId="0" applyFont="1" applyFill="1" applyBorder="1" applyAlignment="1">
      <alignment horizontal="center"/>
    </xf>
    <xf numFmtId="0" fontId="38" fillId="1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9" xfId="0" applyBorder="1"/>
    <xf numFmtId="0" fontId="38" fillId="10" borderId="3" xfId="0" applyFont="1" applyFill="1" applyBorder="1" applyAlignment="1">
      <alignment horizontal="center"/>
    </xf>
    <xf numFmtId="0" fontId="36" fillId="0" borderId="1" xfId="1" applyBorder="1" applyAlignment="1" applyProtection="1">
      <alignment vertical="center"/>
      <protection locked="0"/>
    </xf>
    <xf numFmtId="0" fontId="29" fillId="0" borderId="9" xfId="0" applyFont="1" applyBorder="1" applyAlignment="1">
      <alignment wrapText="1"/>
    </xf>
    <xf numFmtId="0" fontId="0" fillId="12" borderId="1" xfId="0" applyFill="1" applyBorder="1"/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right"/>
    </xf>
    <xf numFmtId="0" fontId="0" fillId="12" borderId="1" xfId="0" applyFill="1" applyBorder="1" applyAlignment="1">
      <alignment horizontal="right"/>
    </xf>
    <xf numFmtId="0" fontId="5" fillId="0" borderId="3" xfId="0" applyFont="1" applyBorder="1" applyAlignment="1" applyProtection="1">
      <alignment horizontal="center" wrapText="1"/>
      <protection locked="0"/>
    </xf>
    <xf numFmtId="0" fontId="5" fillId="0" borderId="4" xfId="0" applyFont="1" applyBorder="1" applyAlignment="1" applyProtection="1">
      <alignment horizontal="center" wrapText="1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2" fillId="9" borderId="3" xfId="0" applyFont="1" applyFill="1" applyBorder="1" applyAlignment="1" applyProtection="1">
      <alignment horizontal="center" vertical="center" wrapText="1"/>
    </xf>
    <xf numFmtId="0" fontId="32" fillId="9" borderId="4" xfId="0" applyFont="1" applyFill="1" applyBorder="1" applyAlignment="1" applyProtection="1">
      <alignment horizontal="center" vertical="center" wrapText="1"/>
    </xf>
    <xf numFmtId="0" fontId="3" fillId="13" borderId="3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wrapText="1"/>
    </xf>
    <xf numFmtId="0" fontId="4" fillId="3" borderId="4" xfId="0" applyFont="1" applyFill="1" applyBorder="1" applyAlignment="1" applyProtection="1">
      <alignment horizontal="center" wrapText="1"/>
    </xf>
    <xf numFmtId="0" fontId="5" fillId="15" borderId="3" xfId="0" applyFont="1" applyFill="1" applyBorder="1" applyAlignment="1" applyProtection="1">
      <alignment horizontal="center" wrapText="1" readingOrder="1"/>
    </xf>
    <xf numFmtId="0" fontId="5" fillId="15" borderId="4" xfId="0" applyFont="1" applyFill="1" applyBorder="1" applyAlignment="1" applyProtection="1">
      <alignment horizontal="center" wrapText="1" readingOrder="1"/>
    </xf>
  </cellXfs>
  <cellStyles count="2">
    <cellStyle name="Гиперссылка" xfId="1" builtinId="8"/>
    <cellStyle name="Обычный" xfId="0" builtinId="0"/>
  </cellStyles>
  <dxfs count="5">
    <dxf>
      <font>
        <b/>
        <color rgb="FF351C75"/>
      </font>
      <fill>
        <patternFill patternType="solid">
          <fgColor theme="8" tint="0.79998168889431442"/>
          <bgColor rgb="FFF5F0FF"/>
        </patternFill>
      </fill>
    </dxf>
    <dxf>
      <fill>
        <patternFill patternType="solid">
          <fgColor rgb="FFFFF4D4"/>
          <bgColor rgb="FFFFF4D4"/>
        </patternFill>
      </fill>
    </dxf>
    <dxf>
      <font>
        <b/>
        <color rgb="FF351C75"/>
      </font>
      <fill>
        <patternFill patternType="solid">
          <fgColor theme="8" tint="0.79998168889431442"/>
          <bgColor rgb="FFF5F0FF"/>
        </patternFill>
      </fill>
    </dxf>
    <dxf>
      <font>
        <b/>
        <color rgb="FF351C75"/>
      </font>
      <fill>
        <patternFill patternType="solid">
          <fgColor theme="8" tint="0.79998168889431442"/>
          <bgColor rgb="FFF5F0FF"/>
        </patternFill>
      </fill>
    </dxf>
    <dxf>
      <fill>
        <patternFill patternType="solid">
          <fgColor rgb="FFFFF4D4"/>
          <bgColor rgb="FFFFF4D4"/>
        </patternFill>
      </fill>
    </dxf>
  </dxfs>
  <tableStyles count="0" defaultTableStyle="TableStyleMedium2" defaultPivotStyle="PivotStyleLight16"/>
  <colors>
    <mruColors>
      <color rgb="FFE7EDFF"/>
      <color rgb="FFCC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drive.google.com/file/d/1pZNcgUXJYgO-kg0HvpWXwfoaGHvzxtY3/view?usp=share_link" TargetMode="External"/><Relationship Id="rId18" Type="http://schemas.openxmlformats.org/officeDocument/2006/relationships/hyperlink" Target="https://drive.google.com/file/d/1MB_PtAzdDz66jB79HV2k_-sWc28c61t3/view?usp=sharing" TargetMode="External"/><Relationship Id="rId26" Type="http://schemas.openxmlformats.org/officeDocument/2006/relationships/hyperlink" Target="https://drive.google.com/file/d/1MTBh-oB35CJ30hPnRpYR5bxCeHqaiMF2/view?usp=sharing" TargetMode="External"/><Relationship Id="rId39" Type="http://schemas.openxmlformats.org/officeDocument/2006/relationships/hyperlink" Target="https://drive.google.com/file/d/1lz1d1Epa_leXjBZ1xZZJpwB2abhEYHzz/view?usp=drive_link" TargetMode="External"/><Relationship Id="rId21" Type="http://schemas.openxmlformats.org/officeDocument/2006/relationships/hyperlink" Target="https://drive.google.com/file/d/1MPUyf7Nxe3nNrRM6i4Xo-q33ZhFFv391/view?usp=sharing" TargetMode="External"/><Relationship Id="rId34" Type="http://schemas.openxmlformats.org/officeDocument/2006/relationships/hyperlink" Target="https://drive.google.com/file/d/1MjQj_p928MXvXMy6gCUUn6MlCfDh2B_F/view?usp=sharing" TargetMode="External"/><Relationship Id="rId42" Type="http://schemas.openxmlformats.org/officeDocument/2006/relationships/hyperlink" Target="https://drive.google.com/file/d/1LeOblExKFVAawrhbLT2tUj0PkDR-Himd/view?usp=drive_link" TargetMode="External"/><Relationship Id="rId47" Type="http://schemas.openxmlformats.org/officeDocument/2006/relationships/hyperlink" Target="https://drive.google.com/file/d/1Ms5yqSuF5RzRyVnMzLH97guRDYVPB7ZR/view?usp=share_link" TargetMode="External"/><Relationship Id="rId50" Type="http://schemas.openxmlformats.org/officeDocument/2006/relationships/hyperlink" Target="https://drive.google.com/file/d/1StQR1jExGKqSrSdTw-56tHGia4TN_UN_/view?usp=share_link" TargetMode="External"/><Relationship Id="rId7" Type="http://schemas.openxmlformats.org/officeDocument/2006/relationships/hyperlink" Target="https://drive.google.com/file/d/1DbQYYP8KOt3Ih3s2cZldpuOlBo6GfWYy/view?usp=sharing" TargetMode="External"/><Relationship Id="rId2" Type="http://schemas.openxmlformats.org/officeDocument/2006/relationships/hyperlink" Target="https://drive.google.com/file/d/1LtkSHI_oKwW-QZ1Fv4OJMHrom1k95VH2/view?usp=sharing" TargetMode="External"/><Relationship Id="rId16" Type="http://schemas.openxmlformats.org/officeDocument/2006/relationships/hyperlink" Target="https://drive.google.com/file/d/1MCIFNuzwvX_eclj9yZGIAS6ECU24Y2g2/view?usp=sharing" TargetMode="External"/><Relationship Id="rId29" Type="http://schemas.openxmlformats.org/officeDocument/2006/relationships/hyperlink" Target="https://drive.google.com/file/d/1MXkdYvibTjBq_lr8NbfUAlUJ0RacOdmY/view?usp=sharing" TargetMode="External"/><Relationship Id="rId11" Type="http://schemas.openxmlformats.org/officeDocument/2006/relationships/hyperlink" Target="https://drive.google.com/file/d/1DnY2x9MisRvyODXRq7hGMYshQGWvAfZb/view?usp=sharing" TargetMode="External"/><Relationship Id="rId24" Type="http://schemas.openxmlformats.org/officeDocument/2006/relationships/hyperlink" Target="https://drive.google.com/file/d/1MRyrR_cvpLByJ5eE9BNZgEH3fl_otPsh/view?usp=sharing" TargetMode="External"/><Relationship Id="rId32" Type="http://schemas.openxmlformats.org/officeDocument/2006/relationships/hyperlink" Target="https://drive.google.com/file/d/1Mc1TBO2yCPU5oU9EYJE4QNk0EovNHqZs/view?usp=sharing" TargetMode="External"/><Relationship Id="rId37" Type="http://schemas.openxmlformats.org/officeDocument/2006/relationships/hyperlink" Target="https://drive.google.com/file/d/1UJicfUKpTlg82226LZdFkzeA-7Cb94Ly/view?usp=drive_link" TargetMode="External"/><Relationship Id="rId40" Type="http://schemas.openxmlformats.org/officeDocument/2006/relationships/hyperlink" Target="https://drive.google.com/file/d/1yQrYABPFxfDOC1cjh1SWxjd-r8xvT9T7/view?usp=drive_link" TargetMode="External"/><Relationship Id="rId45" Type="http://schemas.openxmlformats.org/officeDocument/2006/relationships/hyperlink" Target="https://drive.google.com/file/d/1D16yY4ZIAdOJnGaWh6aFsiap-rjNFDeC/view?usp=sharing" TargetMode="External"/><Relationship Id="rId53" Type="http://schemas.openxmlformats.org/officeDocument/2006/relationships/hyperlink" Target="https://drive.google.com/file/d/137ES2io1Rr1Rah2BthdKG6tgXMs7h5LG/view?usp=share_link" TargetMode="External"/><Relationship Id="rId5" Type="http://schemas.openxmlformats.org/officeDocument/2006/relationships/hyperlink" Target="https://drive.google.com/file/d/1D_m-ki1InRVHoeghAGNUZGHmz6BRRVrj/view?usp=sharing" TargetMode="External"/><Relationship Id="rId10" Type="http://schemas.openxmlformats.org/officeDocument/2006/relationships/hyperlink" Target="https://drive.google.com/file/d/1Do_w4bbfcqqaolM9irKkDdzS-vh3yWDu/view?usp=sharing" TargetMode="External"/><Relationship Id="rId19" Type="http://schemas.openxmlformats.org/officeDocument/2006/relationships/hyperlink" Target="https://drive.google.com/file/d/1oDTTOx_9QAeduFtk8q1immVHmMClAeyM/view?usp=share_link" TargetMode="External"/><Relationship Id="rId31" Type="http://schemas.openxmlformats.org/officeDocument/2006/relationships/hyperlink" Target="https://drive.google.com/file/d/1MbY3OxnYIN1Qp1aENUR7wX4RYuMHoDfn/view?usp=sharing" TargetMode="External"/><Relationship Id="rId44" Type="http://schemas.openxmlformats.org/officeDocument/2006/relationships/hyperlink" Target="https://drive.google.com/file/d/1GUHu27AA1wzDRyN6k2uKu8nJfXCjS_aT/view?usp=drive_link" TargetMode="External"/><Relationship Id="rId52" Type="http://schemas.openxmlformats.org/officeDocument/2006/relationships/hyperlink" Target="https://drive.google.com/file/d/19g3g68otUY1XQyHmrFVzlTSjY-4dWNW_/view?usp=share_link" TargetMode="External"/><Relationship Id="rId4" Type="http://schemas.openxmlformats.org/officeDocument/2006/relationships/hyperlink" Target="https://drive.google.com/file/d/1DafROvG-K3tUJPCoMm24RQKOK5tB_gGy/view?usp=sharing" TargetMode="External"/><Relationship Id="rId9" Type="http://schemas.openxmlformats.org/officeDocument/2006/relationships/hyperlink" Target="https://drive.google.com/file/d/1DlWn6uZBHyoji47wDW0p2HvksM5rkFpO/view?usp=sharing" TargetMode="External"/><Relationship Id="rId14" Type="http://schemas.openxmlformats.org/officeDocument/2006/relationships/hyperlink" Target="https://drive.google.com/file/d/1LzRNRGpq5NdyGmdHyUl1YIg2cnOUvWN_/view?usp=sharing" TargetMode="External"/><Relationship Id="rId22" Type="http://schemas.openxmlformats.org/officeDocument/2006/relationships/hyperlink" Target="https://drive.google.com/file/d/1MOrmnpH1gWVg34zPgDheXBSSaUj-WXu4/view?usp=sharing" TargetMode="External"/><Relationship Id="rId27" Type="http://schemas.openxmlformats.org/officeDocument/2006/relationships/hyperlink" Target="https://drive.google.com/file/d/1MXaUIVkXJyy4acbZ9FRomlSAwhK4m5G_/view?usp=sharing" TargetMode="External"/><Relationship Id="rId30" Type="http://schemas.openxmlformats.org/officeDocument/2006/relationships/hyperlink" Target="https://drive.google.com/file/d/1M_m1JdSF0ZvoMQ9oNXtCudhfno_f-AYW/view?usp=sharing" TargetMode="External"/><Relationship Id="rId35" Type="http://schemas.openxmlformats.org/officeDocument/2006/relationships/hyperlink" Target="https://drive.google.com/file/d/1MjqRHS66-Q_gEpXFFd9kW72h9BsmQpOw/view?usp=sharing" TargetMode="External"/><Relationship Id="rId43" Type="http://schemas.openxmlformats.org/officeDocument/2006/relationships/hyperlink" Target="https://drive.google.com/file/d/1ULQou6Blco8vuJsv_rQdxMHjrRMRdBqW/view?usp=drive_link" TargetMode="External"/><Relationship Id="rId48" Type="http://schemas.openxmlformats.org/officeDocument/2006/relationships/hyperlink" Target="https://drive.google.com/file/d/1bEwmfV2YhsoYuqAoG7Ihwhpuqz-fxX0s/view?usp=share_link" TargetMode="External"/><Relationship Id="rId8" Type="http://schemas.openxmlformats.org/officeDocument/2006/relationships/hyperlink" Target="https://drive.google.com/file/d/1Dluk9DxfJ0ekQC9UfCjPTupNoGywYvyG/view?usp=sharing" TargetMode="External"/><Relationship Id="rId51" Type="http://schemas.openxmlformats.org/officeDocument/2006/relationships/hyperlink" Target="https://drive.google.com/file/d/1iM9UmE-F7m9cPmLMMDJBgM2SvmOJmWgP/view?usp=share_link" TargetMode="External"/><Relationship Id="rId3" Type="http://schemas.openxmlformats.org/officeDocument/2006/relationships/hyperlink" Target="https://drive.google.com/file/d/1Dap6_lSxMSnpno_BunUv2HSfNps5pymN/view?usp=sharing" TargetMode="External"/><Relationship Id="rId12" Type="http://schemas.openxmlformats.org/officeDocument/2006/relationships/hyperlink" Target="https://drive.google.com/file/d/1DorFVhIvRjjU_06CtX6nyVO49eq9_-H1/view?usp=sharing" TargetMode="External"/><Relationship Id="rId17" Type="http://schemas.openxmlformats.org/officeDocument/2006/relationships/hyperlink" Target="https://drive.google.com/file/d/1MC70DEIMuI_crmfV9neNCluUUYFH5efH/view?usp=sharing" TargetMode="External"/><Relationship Id="rId25" Type="http://schemas.openxmlformats.org/officeDocument/2006/relationships/hyperlink" Target="https://drive.google.com/file/d/1MS-ayl-71-inTaYk3ycB3k1_-uuwYiFH/view?usp=sharing" TargetMode="External"/><Relationship Id="rId33" Type="http://schemas.openxmlformats.org/officeDocument/2006/relationships/hyperlink" Target="https://drive.google.com/file/d/1MjO74DREkNDXazEEAEmgmFsHJZspy6o5/view?usp=sharing" TargetMode="External"/><Relationship Id="rId38" Type="http://schemas.openxmlformats.org/officeDocument/2006/relationships/hyperlink" Target="https://drive.google.com/file/d/1YiLHlyUzYBgVKtkUclmI_YAF-P75Uoxl/view?usp=drive_link" TargetMode="External"/><Relationship Id="rId46" Type="http://schemas.openxmlformats.org/officeDocument/2006/relationships/hyperlink" Target="https://drive.google.com/file/d/1i5ujxCCa4wY4tT3HqSEmyRh2nTdEFm-1/view?usp=drive_link" TargetMode="External"/><Relationship Id="rId20" Type="http://schemas.openxmlformats.org/officeDocument/2006/relationships/hyperlink" Target="https://drive.google.com/file/d/1gFyF6BgiUHQ_lKJ2PiGdIPz_X4qHtlaS/view?usp=share_link" TargetMode="External"/><Relationship Id="rId41" Type="http://schemas.openxmlformats.org/officeDocument/2006/relationships/hyperlink" Target="https://drive.google.com/file/d/11xqRq8q4XM6IIN76kiq1SUl5DWAJmEZd/view?usp=drive_link" TargetMode="External"/><Relationship Id="rId54" Type="http://schemas.openxmlformats.org/officeDocument/2006/relationships/hyperlink" Target="https://drive.google.com/file/d/12qj3O8Xr8kyYFlC0BKaLUiuoyam9HK1U/view?usp=share_link" TargetMode="External"/><Relationship Id="rId1" Type="http://schemas.openxmlformats.org/officeDocument/2006/relationships/hyperlink" Target="https://drive.google.com/file/d/1DAA51H-1-9osqKtnrTDAh2nFI_8URorj/view?usp=sharing" TargetMode="External"/><Relationship Id="rId6" Type="http://schemas.openxmlformats.org/officeDocument/2006/relationships/hyperlink" Target="https://drive.google.com/file/d/1DbTX_5rGV1-v1AigTyI_iWqizc3aEf4q/view?usp=sharing" TargetMode="External"/><Relationship Id="rId15" Type="http://schemas.openxmlformats.org/officeDocument/2006/relationships/hyperlink" Target="https://drive.google.com/file/d/1Lxot40XyHCAcmpt9lP40Fgni1MnR8eHV/view?usp=sharing" TargetMode="External"/><Relationship Id="rId23" Type="http://schemas.openxmlformats.org/officeDocument/2006/relationships/hyperlink" Target="https://drive.google.com/file/d/1MPyhM9b6O-CNP7VEBy1dqBTnbF5N6oNT/view?usp=sharing" TargetMode="External"/><Relationship Id="rId28" Type="http://schemas.openxmlformats.org/officeDocument/2006/relationships/hyperlink" Target="https://drive.google.com/file/d/1M_iyf3ZW9Ct5Yu7XGGNZlf9LgzpG0GZQ/view?usp=sharing" TargetMode="External"/><Relationship Id="rId36" Type="http://schemas.openxmlformats.org/officeDocument/2006/relationships/hyperlink" Target="https://drive.google.com/file/d/1Lc2JJEUYdLOOnF9w95jABlk6k4TBBVdb/view?usp=sharing" TargetMode="External"/><Relationship Id="rId49" Type="http://schemas.openxmlformats.org/officeDocument/2006/relationships/hyperlink" Target="https://drive.google.com/file/d/1DNezE1CSgSDWJj20hGWd5BYbHliGuYWZ/view?usp=shar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19"/>
  <sheetViews>
    <sheetView tabSelected="1" workbookViewId="0">
      <selection activeCell="F1" sqref="F1"/>
    </sheetView>
  </sheetViews>
  <sheetFormatPr defaultColWidth="8.85546875" defaultRowHeight="12.75"/>
  <cols>
    <col min="1" max="1" width="16.85546875" customWidth="1"/>
    <col min="2" max="2" width="21.42578125" customWidth="1"/>
    <col min="3" max="3" width="17.42578125" customWidth="1"/>
    <col min="4" max="4" width="19.5703125" customWidth="1"/>
    <col min="5" max="5" width="21" customWidth="1"/>
    <col min="6" max="6" width="20.28515625" customWidth="1"/>
  </cols>
  <sheetData>
    <row r="1" spans="1:6" ht="45" customHeight="1">
      <c r="A1" s="118" t="s">
        <v>361</v>
      </c>
      <c r="B1" s="118" t="s">
        <v>362</v>
      </c>
      <c r="C1" s="119" t="s">
        <v>399</v>
      </c>
      <c r="D1" s="119" t="s">
        <v>395</v>
      </c>
      <c r="E1" s="119" t="s">
        <v>397</v>
      </c>
      <c r="F1" s="119" t="s">
        <v>394</v>
      </c>
    </row>
    <row r="2" spans="1:6">
      <c r="A2" s="117" t="s">
        <v>385</v>
      </c>
      <c r="B2" s="117">
        <v>30642</v>
      </c>
      <c r="C2" s="127">
        <v>4</v>
      </c>
      <c r="D2" s="127">
        <v>1</v>
      </c>
      <c r="E2" s="128">
        <v>2</v>
      </c>
      <c r="F2" s="128">
        <v>2</v>
      </c>
    </row>
    <row r="3" spans="1:6">
      <c r="A3" s="117" t="s">
        <v>385</v>
      </c>
      <c r="B3" s="117">
        <v>30643</v>
      </c>
      <c r="C3" s="127">
        <v>4</v>
      </c>
      <c r="D3" s="127">
        <v>1</v>
      </c>
      <c r="E3" s="128">
        <v>2</v>
      </c>
      <c r="F3" s="128">
        <v>2</v>
      </c>
    </row>
    <row r="4" spans="1:6">
      <c r="A4" s="117" t="s">
        <v>385</v>
      </c>
      <c r="B4" s="117">
        <v>30644</v>
      </c>
      <c r="C4" s="127">
        <v>4</v>
      </c>
      <c r="D4" s="127">
        <v>1</v>
      </c>
      <c r="E4" s="128">
        <v>2</v>
      </c>
      <c r="F4" s="128">
        <v>2</v>
      </c>
    </row>
    <row r="5" spans="1:6">
      <c r="A5" s="117" t="s">
        <v>385</v>
      </c>
      <c r="B5" s="117">
        <v>30645</v>
      </c>
      <c r="C5" s="127">
        <v>4</v>
      </c>
      <c r="D5" s="127">
        <v>1</v>
      </c>
      <c r="E5" s="128">
        <v>2</v>
      </c>
      <c r="F5" s="128">
        <v>2</v>
      </c>
    </row>
    <row r="6" spans="1:6">
      <c r="A6" s="117" t="s">
        <v>385</v>
      </c>
      <c r="B6" s="117">
        <v>30646</v>
      </c>
      <c r="C6" s="127">
        <v>4</v>
      </c>
      <c r="D6" s="127">
        <v>1</v>
      </c>
      <c r="E6" s="128">
        <v>2</v>
      </c>
      <c r="F6" s="128">
        <v>2</v>
      </c>
    </row>
    <row r="7" spans="1:6">
      <c r="A7" s="117" t="s">
        <v>385</v>
      </c>
      <c r="B7" s="117">
        <v>30647</v>
      </c>
      <c r="C7" s="127">
        <v>4</v>
      </c>
      <c r="D7" s="127">
        <v>1</v>
      </c>
      <c r="E7" s="128">
        <v>2</v>
      </c>
      <c r="F7" s="128">
        <v>2</v>
      </c>
    </row>
    <row r="8" spans="1:6">
      <c r="A8" s="117" t="s">
        <v>385</v>
      </c>
      <c r="B8" s="117">
        <v>30648</v>
      </c>
      <c r="C8" s="127">
        <v>4</v>
      </c>
      <c r="D8" s="127">
        <v>1</v>
      </c>
      <c r="E8" s="128">
        <v>2</v>
      </c>
      <c r="F8" s="128">
        <v>2</v>
      </c>
    </row>
    <row r="9" spans="1:6">
      <c r="A9" s="117" t="s">
        <v>385</v>
      </c>
      <c r="B9" s="117">
        <v>30649</v>
      </c>
      <c r="C9" s="127">
        <v>4</v>
      </c>
      <c r="D9" s="127">
        <v>1</v>
      </c>
      <c r="E9" s="128">
        <v>2</v>
      </c>
      <c r="F9" s="128">
        <v>2</v>
      </c>
    </row>
    <row r="10" spans="1:6">
      <c r="A10" s="117" t="s">
        <v>385</v>
      </c>
      <c r="B10" s="117">
        <v>30650</v>
      </c>
      <c r="C10" s="127">
        <v>4</v>
      </c>
      <c r="D10" s="127">
        <v>1</v>
      </c>
      <c r="E10" s="128">
        <v>2</v>
      </c>
      <c r="F10" s="128">
        <v>2</v>
      </c>
    </row>
    <row r="11" spans="1:6">
      <c r="A11" s="117" t="s">
        <v>385</v>
      </c>
      <c r="B11" s="117">
        <v>30651</v>
      </c>
      <c r="C11" s="127">
        <v>4</v>
      </c>
      <c r="D11" s="127">
        <v>1</v>
      </c>
      <c r="E11" s="128">
        <v>2</v>
      </c>
      <c r="F11" s="128">
        <v>2</v>
      </c>
    </row>
    <row r="12" spans="1:6">
      <c r="A12" s="117" t="s">
        <v>385</v>
      </c>
      <c r="B12" s="117">
        <v>30652</v>
      </c>
      <c r="C12" s="127">
        <v>4</v>
      </c>
      <c r="D12" s="127">
        <v>1</v>
      </c>
      <c r="E12" s="128">
        <v>2</v>
      </c>
      <c r="F12" s="128">
        <v>2</v>
      </c>
    </row>
    <row r="13" spans="1:6">
      <c r="A13" s="117" t="s">
        <v>385</v>
      </c>
      <c r="B13" s="117">
        <v>30653</v>
      </c>
      <c r="C13" s="127">
        <v>4</v>
      </c>
      <c r="D13" s="127">
        <v>1</v>
      </c>
      <c r="E13" s="128">
        <v>2</v>
      </c>
      <c r="F13" s="128">
        <v>2</v>
      </c>
    </row>
    <row r="14" spans="1:6">
      <c r="A14" s="117" t="s">
        <v>385</v>
      </c>
      <c r="B14" s="117">
        <v>30654</v>
      </c>
      <c r="C14" s="127">
        <v>4</v>
      </c>
      <c r="D14" s="127">
        <v>1</v>
      </c>
      <c r="E14" s="128">
        <v>2</v>
      </c>
      <c r="F14" s="128">
        <v>2</v>
      </c>
    </row>
    <row r="15" spans="1:6">
      <c r="A15" s="117" t="s">
        <v>385</v>
      </c>
      <c r="B15" s="117">
        <v>30655</v>
      </c>
      <c r="C15" s="127">
        <v>4</v>
      </c>
      <c r="D15" s="127">
        <v>1</v>
      </c>
      <c r="E15" s="128">
        <v>2</v>
      </c>
      <c r="F15" s="128">
        <v>2</v>
      </c>
    </row>
    <row r="16" spans="1:6">
      <c r="A16" s="117" t="s">
        <v>385</v>
      </c>
      <c r="B16" s="117">
        <v>30656</v>
      </c>
      <c r="C16" s="127">
        <v>4</v>
      </c>
      <c r="D16" s="127">
        <v>1</v>
      </c>
      <c r="E16" s="128">
        <v>2</v>
      </c>
      <c r="F16" s="128">
        <v>2</v>
      </c>
    </row>
    <row r="17" spans="1:6">
      <c r="A17" s="117" t="s">
        <v>385</v>
      </c>
      <c r="B17" s="117">
        <v>30657</v>
      </c>
      <c r="C17" s="127">
        <v>4</v>
      </c>
      <c r="D17" s="127">
        <v>1</v>
      </c>
      <c r="E17" s="128">
        <v>2</v>
      </c>
      <c r="F17" s="128">
        <v>2</v>
      </c>
    </row>
    <row r="18" spans="1:6">
      <c r="A18" s="117" t="s">
        <v>385</v>
      </c>
      <c r="B18" s="117">
        <v>30658</v>
      </c>
      <c r="C18" s="127">
        <v>4</v>
      </c>
      <c r="D18" s="127">
        <v>1</v>
      </c>
      <c r="E18" s="128">
        <v>2</v>
      </c>
      <c r="F18" s="128">
        <v>2</v>
      </c>
    </row>
    <row r="19" spans="1:6">
      <c r="A19" s="117" t="s">
        <v>385</v>
      </c>
      <c r="B19" s="117">
        <v>30659</v>
      </c>
      <c r="C19" s="127">
        <v>4</v>
      </c>
      <c r="D19" s="127">
        <v>1</v>
      </c>
      <c r="E19" s="128">
        <v>2</v>
      </c>
      <c r="F19" s="128">
        <v>2</v>
      </c>
    </row>
    <row r="20" spans="1:6">
      <c r="A20" s="117" t="s">
        <v>385</v>
      </c>
      <c r="B20" s="117">
        <v>30660</v>
      </c>
      <c r="C20" s="127">
        <v>4</v>
      </c>
      <c r="D20" s="127">
        <v>1</v>
      </c>
      <c r="E20" s="128">
        <v>2</v>
      </c>
      <c r="F20" s="128">
        <v>2</v>
      </c>
    </row>
    <row r="21" spans="1:6">
      <c r="A21" s="117" t="s">
        <v>385</v>
      </c>
      <c r="B21" s="117">
        <v>30661</v>
      </c>
      <c r="C21" s="127">
        <v>4</v>
      </c>
      <c r="D21" s="127">
        <v>1</v>
      </c>
      <c r="E21" s="128">
        <v>2</v>
      </c>
      <c r="F21" s="128">
        <v>2</v>
      </c>
    </row>
    <row r="22" spans="1:6">
      <c r="A22" s="117" t="s">
        <v>385</v>
      </c>
      <c r="B22" s="117">
        <v>30662</v>
      </c>
      <c r="C22" s="127">
        <v>4</v>
      </c>
      <c r="D22" s="127">
        <v>1</v>
      </c>
      <c r="E22" s="128">
        <v>2</v>
      </c>
      <c r="F22" s="128">
        <v>2</v>
      </c>
    </row>
    <row r="23" spans="1:6">
      <c r="A23" s="117" t="s">
        <v>385</v>
      </c>
      <c r="B23" s="117">
        <v>30663</v>
      </c>
      <c r="C23" s="127">
        <v>4</v>
      </c>
      <c r="D23" s="127">
        <v>1</v>
      </c>
      <c r="E23" s="128">
        <v>2</v>
      </c>
      <c r="F23" s="128">
        <v>2</v>
      </c>
    </row>
    <row r="24" spans="1:6">
      <c r="A24" s="117" t="s">
        <v>385</v>
      </c>
      <c r="B24" s="117">
        <v>30664</v>
      </c>
      <c r="C24" s="127">
        <v>4</v>
      </c>
      <c r="D24" s="127">
        <v>1</v>
      </c>
      <c r="E24" s="128">
        <v>2</v>
      </c>
      <c r="F24" s="128">
        <v>2</v>
      </c>
    </row>
    <row r="25" spans="1:6">
      <c r="A25" s="117" t="s">
        <v>385</v>
      </c>
      <c r="B25" s="117">
        <v>30665</v>
      </c>
      <c r="C25" s="127">
        <v>4</v>
      </c>
      <c r="D25" s="127">
        <v>1</v>
      </c>
      <c r="E25" s="128">
        <v>2</v>
      </c>
      <c r="F25" s="128">
        <v>2</v>
      </c>
    </row>
    <row r="26" spans="1:6">
      <c r="A26" s="117" t="s">
        <v>385</v>
      </c>
      <c r="B26" s="117">
        <v>30666</v>
      </c>
      <c r="C26" s="127">
        <v>4</v>
      </c>
      <c r="D26" s="127">
        <v>1</v>
      </c>
      <c r="E26" s="128">
        <v>2</v>
      </c>
      <c r="F26" s="128">
        <v>2</v>
      </c>
    </row>
    <row r="27" spans="1:6">
      <c r="A27" s="117" t="s">
        <v>385</v>
      </c>
      <c r="B27" s="117">
        <v>30667</v>
      </c>
      <c r="C27" s="127">
        <v>4</v>
      </c>
      <c r="D27" s="127">
        <v>1</v>
      </c>
      <c r="E27" s="128">
        <v>2</v>
      </c>
      <c r="F27" s="128">
        <v>2</v>
      </c>
    </row>
    <row r="28" spans="1:6">
      <c r="A28" s="117" t="s">
        <v>385</v>
      </c>
      <c r="B28" s="117">
        <v>30668</v>
      </c>
      <c r="C28" s="127">
        <v>4</v>
      </c>
      <c r="D28" s="127">
        <v>1</v>
      </c>
      <c r="E28" s="128">
        <v>2</v>
      </c>
      <c r="F28" s="128">
        <v>2</v>
      </c>
    </row>
    <row r="29" spans="1:6">
      <c r="A29" s="117" t="s">
        <v>385</v>
      </c>
      <c r="B29" s="117">
        <v>30669</v>
      </c>
      <c r="C29" s="127">
        <v>4</v>
      </c>
      <c r="D29" s="127">
        <v>1</v>
      </c>
      <c r="E29" s="128">
        <v>2</v>
      </c>
      <c r="F29" s="128">
        <v>2</v>
      </c>
    </row>
    <row r="30" spans="1:6">
      <c r="A30" s="117" t="s">
        <v>385</v>
      </c>
      <c r="B30" s="117">
        <v>30670</v>
      </c>
      <c r="C30" s="127">
        <v>4</v>
      </c>
      <c r="D30" s="127">
        <v>1</v>
      </c>
      <c r="E30" s="128">
        <v>2</v>
      </c>
      <c r="F30" s="128">
        <v>2</v>
      </c>
    </row>
    <row r="31" spans="1:6">
      <c r="A31" s="117" t="s">
        <v>385</v>
      </c>
      <c r="B31" s="117">
        <v>30671</v>
      </c>
      <c r="C31" s="127">
        <v>4</v>
      </c>
      <c r="D31" s="127">
        <v>1</v>
      </c>
      <c r="E31" s="128">
        <v>2</v>
      </c>
      <c r="F31" s="128">
        <v>2</v>
      </c>
    </row>
    <row r="32" spans="1:6">
      <c r="A32" s="117" t="s">
        <v>385</v>
      </c>
      <c r="B32" s="117">
        <v>30672</v>
      </c>
      <c r="C32" s="127">
        <v>4</v>
      </c>
      <c r="D32" s="127">
        <v>1</v>
      </c>
      <c r="E32" s="128">
        <v>2</v>
      </c>
      <c r="F32" s="128">
        <v>2</v>
      </c>
    </row>
    <row r="33" spans="1:6">
      <c r="A33" s="117" t="s">
        <v>385</v>
      </c>
      <c r="B33" s="117">
        <v>30673</v>
      </c>
      <c r="C33" s="127">
        <v>4</v>
      </c>
      <c r="D33" s="127">
        <v>1</v>
      </c>
      <c r="E33" s="128">
        <v>2</v>
      </c>
      <c r="F33" s="128">
        <v>2</v>
      </c>
    </row>
    <row r="34" spans="1:6">
      <c r="A34" s="117" t="s">
        <v>385</v>
      </c>
      <c r="B34" s="117">
        <v>30674</v>
      </c>
      <c r="C34" s="127">
        <v>4</v>
      </c>
      <c r="D34" s="127">
        <v>1</v>
      </c>
      <c r="E34" s="128">
        <v>2</v>
      </c>
      <c r="F34" s="128">
        <v>2</v>
      </c>
    </row>
    <row r="35" spans="1:6">
      <c r="A35" s="117" t="s">
        <v>385</v>
      </c>
      <c r="B35" s="117">
        <v>30675</v>
      </c>
      <c r="C35" s="127">
        <v>4</v>
      </c>
      <c r="D35" s="127">
        <v>1</v>
      </c>
      <c r="E35" s="128">
        <v>2</v>
      </c>
      <c r="F35" s="128">
        <v>2</v>
      </c>
    </row>
    <row r="36" spans="1:6">
      <c r="A36" s="117" t="s">
        <v>385</v>
      </c>
      <c r="B36" s="117">
        <v>30676</v>
      </c>
      <c r="C36" s="127">
        <v>4</v>
      </c>
      <c r="D36" s="127">
        <v>1</v>
      </c>
      <c r="E36" s="128">
        <v>2</v>
      </c>
      <c r="F36" s="128">
        <v>2</v>
      </c>
    </row>
    <row r="37" spans="1:6">
      <c r="A37" s="117" t="s">
        <v>385</v>
      </c>
      <c r="B37" s="117">
        <v>30677</v>
      </c>
      <c r="C37" s="127">
        <v>4</v>
      </c>
      <c r="D37" s="127">
        <v>1</v>
      </c>
      <c r="E37" s="128">
        <v>2</v>
      </c>
      <c r="F37" s="128">
        <v>2</v>
      </c>
    </row>
    <row r="38" spans="1:6">
      <c r="A38" s="117" t="s">
        <v>385</v>
      </c>
      <c r="B38" s="117">
        <v>30678</v>
      </c>
      <c r="C38" s="127">
        <v>4</v>
      </c>
      <c r="D38" s="127">
        <v>1</v>
      </c>
      <c r="E38" s="128">
        <v>2</v>
      </c>
      <c r="F38" s="128">
        <v>2</v>
      </c>
    </row>
    <row r="39" spans="1:6">
      <c r="A39" s="117" t="s">
        <v>385</v>
      </c>
      <c r="B39" s="117">
        <v>30679</v>
      </c>
      <c r="C39" s="127">
        <v>4</v>
      </c>
      <c r="D39" s="127">
        <v>1</v>
      </c>
      <c r="E39" s="128">
        <v>2</v>
      </c>
      <c r="F39" s="128">
        <v>2</v>
      </c>
    </row>
    <row r="40" spans="1:6">
      <c r="A40" s="117" t="s">
        <v>385</v>
      </c>
      <c r="B40" s="117">
        <v>30680</v>
      </c>
      <c r="C40" s="127">
        <v>4</v>
      </c>
      <c r="D40" s="127">
        <v>1</v>
      </c>
      <c r="E40" s="128">
        <v>2</v>
      </c>
      <c r="F40" s="128">
        <v>2</v>
      </c>
    </row>
    <row r="41" spans="1:6">
      <c r="A41" s="117" t="s">
        <v>385</v>
      </c>
      <c r="B41" s="117">
        <v>30681</v>
      </c>
      <c r="C41" s="127">
        <v>4</v>
      </c>
      <c r="D41" s="127">
        <v>1</v>
      </c>
      <c r="E41" s="128">
        <v>2</v>
      </c>
      <c r="F41" s="128">
        <v>2</v>
      </c>
    </row>
    <row r="42" spans="1:6">
      <c r="A42" s="117" t="s">
        <v>385</v>
      </c>
      <c r="B42" s="117">
        <v>30682</v>
      </c>
      <c r="C42" s="127">
        <v>4</v>
      </c>
      <c r="D42" s="127">
        <v>1</v>
      </c>
      <c r="E42" s="128">
        <v>2</v>
      </c>
      <c r="F42" s="128">
        <v>2</v>
      </c>
    </row>
    <row r="43" spans="1:6">
      <c r="A43" s="117" t="s">
        <v>385</v>
      </c>
      <c r="B43" s="117">
        <v>30683</v>
      </c>
      <c r="C43" s="127">
        <v>4</v>
      </c>
      <c r="D43" s="127">
        <v>1</v>
      </c>
      <c r="E43" s="128">
        <v>2</v>
      </c>
      <c r="F43" s="128">
        <v>2</v>
      </c>
    </row>
    <row r="44" spans="1:6">
      <c r="A44" s="117" t="s">
        <v>385</v>
      </c>
      <c r="B44" s="117">
        <v>30684</v>
      </c>
      <c r="C44" s="127">
        <v>4</v>
      </c>
      <c r="D44" s="127">
        <v>1</v>
      </c>
      <c r="E44" s="128">
        <v>2</v>
      </c>
      <c r="F44" s="128">
        <v>2</v>
      </c>
    </row>
    <row r="45" spans="1:6">
      <c r="A45" s="117" t="s">
        <v>385</v>
      </c>
      <c r="B45" s="117">
        <v>30685</v>
      </c>
      <c r="C45" s="127">
        <v>4</v>
      </c>
      <c r="D45" s="127">
        <v>1</v>
      </c>
      <c r="E45" s="128">
        <v>2</v>
      </c>
      <c r="F45" s="128">
        <v>2</v>
      </c>
    </row>
    <row r="46" spans="1:6">
      <c r="A46" s="117" t="s">
        <v>385</v>
      </c>
      <c r="B46" s="117">
        <v>30686</v>
      </c>
      <c r="C46" s="127">
        <v>4</v>
      </c>
      <c r="D46" s="127">
        <v>1</v>
      </c>
      <c r="E46" s="128">
        <v>2</v>
      </c>
      <c r="F46" s="128">
        <v>2</v>
      </c>
    </row>
    <row r="47" spans="1:6">
      <c r="A47" s="117" t="s">
        <v>385</v>
      </c>
      <c r="B47" s="117">
        <v>30687</v>
      </c>
      <c r="C47" s="127">
        <v>4</v>
      </c>
      <c r="D47" s="127">
        <v>1</v>
      </c>
      <c r="E47" s="128">
        <v>2</v>
      </c>
      <c r="F47" s="128">
        <v>2</v>
      </c>
    </row>
    <row r="48" spans="1:6">
      <c r="A48" s="117" t="s">
        <v>385</v>
      </c>
      <c r="B48" s="117">
        <v>30688</v>
      </c>
      <c r="C48" s="127">
        <v>4</v>
      </c>
      <c r="D48" s="127">
        <v>1</v>
      </c>
      <c r="E48" s="128">
        <v>2</v>
      </c>
      <c r="F48" s="128">
        <v>2</v>
      </c>
    </row>
    <row r="49" spans="1:6">
      <c r="A49" s="117" t="s">
        <v>385</v>
      </c>
      <c r="B49" s="117">
        <v>30689</v>
      </c>
      <c r="C49" s="127">
        <v>4</v>
      </c>
      <c r="D49" s="127">
        <v>1</v>
      </c>
      <c r="E49" s="128">
        <v>2</v>
      </c>
      <c r="F49" s="128">
        <v>2</v>
      </c>
    </row>
    <row r="50" spans="1:6">
      <c r="A50" s="117" t="s">
        <v>385</v>
      </c>
      <c r="B50" s="117">
        <v>30690</v>
      </c>
      <c r="C50" s="127">
        <v>4</v>
      </c>
      <c r="D50" s="127">
        <v>1</v>
      </c>
      <c r="E50" s="128">
        <v>2</v>
      </c>
      <c r="F50" s="128">
        <v>2</v>
      </c>
    </row>
    <row r="51" spans="1:6">
      <c r="A51" s="117" t="s">
        <v>385</v>
      </c>
      <c r="B51" s="117">
        <v>30691</v>
      </c>
      <c r="C51" s="127">
        <v>4</v>
      </c>
      <c r="D51" s="127">
        <v>1</v>
      </c>
      <c r="E51" s="128">
        <v>2</v>
      </c>
      <c r="F51" s="128">
        <v>2</v>
      </c>
    </row>
    <row r="52" spans="1:6">
      <c r="A52" s="117" t="s">
        <v>385</v>
      </c>
      <c r="B52" s="117">
        <v>30692</v>
      </c>
      <c r="C52" s="127">
        <v>4</v>
      </c>
      <c r="D52" s="127">
        <v>1</v>
      </c>
      <c r="E52" s="128">
        <v>2</v>
      </c>
      <c r="F52" s="128">
        <v>2</v>
      </c>
    </row>
    <row r="53" spans="1:6">
      <c r="A53" s="117" t="s">
        <v>385</v>
      </c>
      <c r="B53" s="117">
        <v>30693</v>
      </c>
      <c r="C53" s="127">
        <v>4</v>
      </c>
      <c r="D53" s="127">
        <v>1</v>
      </c>
      <c r="E53" s="128">
        <v>2</v>
      </c>
      <c r="F53" s="128">
        <v>2</v>
      </c>
    </row>
    <row r="54" spans="1:6">
      <c r="A54" s="117" t="s">
        <v>385</v>
      </c>
      <c r="B54" s="117">
        <v>30694</v>
      </c>
      <c r="C54" s="127">
        <v>4</v>
      </c>
      <c r="D54" s="127">
        <v>1</v>
      </c>
      <c r="E54" s="128">
        <v>2</v>
      </c>
      <c r="F54" s="128">
        <v>2</v>
      </c>
    </row>
    <row r="55" spans="1:6">
      <c r="A55" s="117" t="s">
        <v>385</v>
      </c>
      <c r="B55" s="117">
        <v>30695</v>
      </c>
      <c r="C55" s="127">
        <v>4</v>
      </c>
      <c r="D55" s="127">
        <v>1</v>
      </c>
      <c r="E55" s="128">
        <v>2</v>
      </c>
      <c r="F55" s="128">
        <v>2</v>
      </c>
    </row>
    <row r="56" spans="1:6">
      <c r="A56" s="117" t="s">
        <v>385</v>
      </c>
      <c r="B56" s="117">
        <v>30696</v>
      </c>
      <c r="C56" s="127">
        <v>4</v>
      </c>
      <c r="D56" s="127">
        <v>1</v>
      </c>
      <c r="E56" s="128">
        <v>2</v>
      </c>
      <c r="F56" s="128">
        <v>2</v>
      </c>
    </row>
    <row r="57" spans="1:6">
      <c r="A57" s="117" t="s">
        <v>385</v>
      </c>
      <c r="B57" s="117">
        <v>30697</v>
      </c>
      <c r="C57" s="127">
        <v>4</v>
      </c>
      <c r="D57" s="127">
        <v>1</v>
      </c>
      <c r="E57" s="128">
        <v>2</v>
      </c>
      <c r="F57" s="128">
        <v>2</v>
      </c>
    </row>
    <row r="58" spans="1:6">
      <c r="A58" s="117" t="s">
        <v>385</v>
      </c>
      <c r="B58" s="117">
        <v>30698</v>
      </c>
      <c r="C58" s="127">
        <v>4</v>
      </c>
      <c r="D58" s="127">
        <v>1</v>
      </c>
      <c r="E58" s="128">
        <v>2</v>
      </c>
      <c r="F58" s="128">
        <v>2</v>
      </c>
    </row>
    <row r="59" spans="1:6">
      <c r="A59" s="117" t="s">
        <v>385</v>
      </c>
      <c r="B59" s="117">
        <v>30699</v>
      </c>
      <c r="C59" s="127">
        <v>4</v>
      </c>
      <c r="D59" s="127">
        <v>1</v>
      </c>
      <c r="E59" s="128">
        <v>2</v>
      </c>
      <c r="F59" s="128">
        <v>2</v>
      </c>
    </row>
    <row r="60" spans="1:6">
      <c r="A60" s="117" t="s">
        <v>385</v>
      </c>
      <c r="B60" s="117">
        <v>30700</v>
      </c>
      <c r="C60" s="127">
        <v>4</v>
      </c>
      <c r="D60" s="127">
        <v>1</v>
      </c>
      <c r="E60" s="128">
        <v>2</v>
      </c>
      <c r="F60" s="128">
        <v>2</v>
      </c>
    </row>
    <row r="61" spans="1:6">
      <c r="A61" s="117" t="s">
        <v>385</v>
      </c>
      <c r="B61" s="117">
        <v>30701</v>
      </c>
      <c r="C61" s="127">
        <v>4</v>
      </c>
      <c r="D61" s="127">
        <v>1</v>
      </c>
      <c r="E61" s="128">
        <v>2</v>
      </c>
      <c r="F61" s="128">
        <v>2</v>
      </c>
    </row>
    <row r="62" spans="1:6">
      <c r="A62" s="117" t="s">
        <v>385</v>
      </c>
      <c r="B62" s="117">
        <v>30702</v>
      </c>
      <c r="C62" s="127">
        <v>4</v>
      </c>
      <c r="D62" s="127">
        <v>1</v>
      </c>
      <c r="E62" s="128">
        <v>2</v>
      </c>
      <c r="F62" s="128">
        <v>2</v>
      </c>
    </row>
    <row r="63" spans="1:6">
      <c r="A63" s="117" t="s">
        <v>385</v>
      </c>
      <c r="B63" s="117">
        <v>30703</v>
      </c>
      <c r="C63" s="127">
        <v>4</v>
      </c>
      <c r="D63" s="127">
        <v>1</v>
      </c>
      <c r="E63" s="128">
        <v>2</v>
      </c>
      <c r="F63" s="128">
        <v>2</v>
      </c>
    </row>
    <row r="64" spans="1:6">
      <c r="A64" s="117" t="s">
        <v>385</v>
      </c>
      <c r="B64" s="117">
        <v>30704</v>
      </c>
      <c r="C64" s="127">
        <v>4</v>
      </c>
      <c r="D64" s="127">
        <v>1</v>
      </c>
      <c r="E64" s="128">
        <v>2</v>
      </c>
      <c r="F64" s="128">
        <v>2</v>
      </c>
    </row>
    <row r="65" spans="1:6">
      <c r="A65" s="117" t="s">
        <v>385</v>
      </c>
      <c r="B65" s="117">
        <v>30705</v>
      </c>
      <c r="C65" s="127">
        <v>4</v>
      </c>
      <c r="D65" s="127">
        <v>1</v>
      </c>
      <c r="E65" s="128">
        <v>2</v>
      </c>
      <c r="F65" s="128">
        <v>2</v>
      </c>
    </row>
    <row r="66" spans="1:6">
      <c r="A66" s="117" t="s">
        <v>385</v>
      </c>
      <c r="B66" s="117">
        <v>30706</v>
      </c>
      <c r="C66" s="127">
        <v>4</v>
      </c>
      <c r="D66" s="127">
        <v>1</v>
      </c>
      <c r="E66" s="128">
        <v>2</v>
      </c>
      <c r="F66" s="128">
        <v>2</v>
      </c>
    </row>
    <row r="67" spans="1:6">
      <c r="A67" s="117" t="s">
        <v>385</v>
      </c>
      <c r="B67" s="117">
        <v>30707</v>
      </c>
      <c r="C67" s="127">
        <v>4</v>
      </c>
      <c r="D67" s="127">
        <v>1</v>
      </c>
      <c r="E67" s="128">
        <v>2</v>
      </c>
      <c r="F67" s="128">
        <v>2</v>
      </c>
    </row>
    <row r="68" spans="1:6">
      <c r="A68" s="117" t="s">
        <v>385</v>
      </c>
      <c r="B68" s="117">
        <v>30708</v>
      </c>
      <c r="C68" s="127">
        <v>4</v>
      </c>
      <c r="D68" s="127">
        <v>1</v>
      </c>
      <c r="E68" s="128">
        <v>2</v>
      </c>
      <c r="F68" s="128">
        <v>2</v>
      </c>
    </row>
    <row r="69" spans="1:6">
      <c r="A69" s="117" t="s">
        <v>385</v>
      </c>
      <c r="B69" s="117">
        <v>30709</v>
      </c>
      <c r="C69" s="127">
        <v>4</v>
      </c>
      <c r="D69" s="127">
        <v>1</v>
      </c>
      <c r="E69" s="128">
        <v>2</v>
      </c>
      <c r="F69" s="128">
        <v>2</v>
      </c>
    </row>
    <row r="70" spans="1:6">
      <c r="A70" s="117" t="s">
        <v>385</v>
      </c>
      <c r="B70" s="117">
        <v>30710</v>
      </c>
      <c r="C70" s="127">
        <v>4</v>
      </c>
      <c r="D70" s="127">
        <v>1</v>
      </c>
      <c r="E70" s="128">
        <v>2</v>
      </c>
      <c r="F70" s="128">
        <v>2</v>
      </c>
    </row>
    <row r="71" spans="1:6">
      <c r="A71" s="117" t="s">
        <v>385</v>
      </c>
      <c r="B71" s="117">
        <v>30711</v>
      </c>
      <c r="C71" s="127">
        <v>4</v>
      </c>
      <c r="D71" s="127">
        <v>1</v>
      </c>
      <c r="E71" s="128">
        <v>2</v>
      </c>
      <c r="F71" s="128">
        <v>2</v>
      </c>
    </row>
    <row r="72" spans="1:6">
      <c r="A72" s="117" t="s">
        <v>385</v>
      </c>
      <c r="B72" s="117">
        <v>30712</v>
      </c>
      <c r="C72" s="127">
        <v>4</v>
      </c>
      <c r="D72" s="127">
        <v>1</v>
      </c>
      <c r="E72" s="128">
        <v>2</v>
      </c>
      <c r="F72" s="128">
        <v>2</v>
      </c>
    </row>
    <row r="73" spans="1:6">
      <c r="A73" s="117" t="s">
        <v>385</v>
      </c>
      <c r="B73" s="117">
        <v>30713</v>
      </c>
      <c r="C73" s="127">
        <v>4</v>
      </c>
      <c r="D73" s="127">
        <v>1</v>
      </c>
      <c r="E73" s="128">
        <v>2</v>
      </c>
      <c r="F73" s="128">
        <v>2</v>
      </c>
    </row>
    <row r="74" spans="1:6">
      <c r="A74" s="117" t="s">
        <v>385</v>
      </c>
      <c r="B74" s="117">
        <v>30714</v>
      </c>
      <c r="C74" s="127">
        <v>4</v>
      </c>
      <c r="D74" s="127">
        <v>1</v>
      </c>
      <c r="E74" s="128">
        <v>2</v>
      </c>
      <c r="F74" s="128">
        <v>2</v>
      </c>
    </row>
    <row r="75" spans="1:6">
      <c r="A75" s="117" t="s">
        <v>385</v>
      </c>
      <c r="B75" s="117">
        <v>30715</v>
      </c>
      <c r="C75" s="127">
        <v>4</v>
      </c>
      <c r="D75" s="127">
        <v>1</v>
      </c>
      <c r="E75" s="128">
        <v>2</v>
      </c>
      <c r="F75" s="128">
        <v>2</v>
      </c>
    </row>
    <row r="76" spans="1:6">
      <c r="A76" s="117" t="s">
        <v>385</v>
      </c>
      <c r="B76" s="117">
        <v>30716</v>
      </c>
      <c r="C76" s="127">
        <v>4</v>
      </c>
      <c r="D76" s="127">
        <v>1</v>
      </c>
      <c r="E76" s="128">
        <v>2</v>
      </c>
      <c r="F76" s="128">
        <v>2</v>
      </c>
    </row>
    <row r="77" spans="1:6">
      <c r="A77" s="117" t="s">
        <v>385</v>
      </c>
      <c r="B77" s="117">
        <v>30717</v>
      </c>
      <c r="C77" s="127">
        <v>4</v>
      </c>
      <c r="D77" s="127">
        <v>1</v>
      </c>
      <c r="E77" s="128">
        <v>2</v>
      </c>
      <c r="F77" s="128">
        <v>2</v>
      </c>
    </row>
    <row r="78" spans="1:6">
      <c r="A78" s="117" t="s">
        <v>385</v>
      </c>
      <c r="B78" s="117">
        <v>30718</v>
      </c>
      <c r="C78" s="127">
        <v>4</v>
      </c>
      <c r="D78" s="127">
        <v>1</v>
      </c>
      <c r="E78" s="128">
        <v>2</v>
      </c>
      <c r="F78" s="128">
        <v>2</v>
      </c>
    </row>
    <row r="79" spans="1:6">
      <c r="A79" s="117" t="s">
        <v>385</v>
      </c>
      <c r="B79" s="117">
        <v>30719</v>
      </c>
      <c r="C79" s="127">
        <v>4</v>
      </c>
      <c r="D79" s="127">
        <v>1</v>
      </c>
      <c r="E79" s="128">
        <v>2</v>
      </c>
      <c r="F79" s="128">
        <v>2</v>
      </c>
    </row>
    <row r="80" spans="1:6">
      <c r="A80" s="117" t="s">
        <v>385</v>
      </c>
      <c r="B80" s="117">
        <v>30720</v>
      </c>
      <c r="C80" s="127">
        <v>4</v>
      </c>
      <c r="D80" s="127">
        <v>1</v>
      </c>
      <c r="E80" s="128">
        <v>2</v>
      </c>
      <c r="F80" s="128">
        <v>2</v>
      </c>
    </row>
    <row r="81" spans="1:6">
      <c r="A81" s="117" t="s">
        <v>385</v>
      </c>
      <c r="B81" s="117">
        <v>30721</v>
      </c>
      <c r="C81" s="127">
        <v>4</v>
      </c>
      <c r="D81" s="127">
        <v>1</v>
      </c>
      <c r="E81" s="128">
        <v>2</v>
      </c>
      <c r="F81" s="128">
        <v>2</v>
      </c>
    </row>
    <row r="82" spans="1:6">
      <c r="A82" s="117" t="s">
        <v>385</v>
      </c>
      <c r="B82" s="117">
        <v>30722</v>
      </c>
      <c r="C82" s="127">
        <v>4</v>
      </c>
      <c r="D82" s="127">
        <v>1</v>
      </c>
      <c r="E82" s="128">
        <v>2</v>
      </c>
      <c r="F82" s="128">
        <v>2</v>
      </c>
    </row>
    <row r="83" spans="1:6">
      <c r="A83" s="117" t="s">
        <v>385</v>
      </c>
      <c r="B83" s="117">
        <v>30723</v>
      </c>
      <c r="C83" s="127">
        <v>4</v>
      </c>
      <c r="D83" s="127">
        <v>1</v>
      </c>
      <c r="E83" s="128">
        <v>2</v>
      </c>
      <c r="F83" s="128">
        <v>2</v>
      </c>
    </row>
    <row r="84" spans="1:6">
      <c r="A84" s="117" t="s">
        <v>385</v>
      </c>
      <c r="B84" s="117">
        <v>30724</v>
      </c>
      <c r="C84" s="127">
        <v>4</v>
      </c>
      <c r="D84" s="127">
        <v>1</v>
      </c>
      <c r="E84" s="128">
        <v>2</v>
      </c>
      <c r="F84" s="128">
        <v>2</v>
      </c>
    </row>
    <row r="85" spans="1:6">
      <c r="A85" s="117" t="s">
        <v>385</v>
      </c>
      <c r="B85" s="117">
        <v>30725</v>
      </c>
      <c r="C85" s="127">
        <v>4</v>
      </c>
      <c r="D85" s="127">
        <v>1</v>
      </c>
      <c r="E85" s="128">
        <v>2</v>
      </c>
      <c r="F85" s="128">
        <v>2</v>
      </c>
    </row>
    <row r="86" spans="1:6">
      <c r="A86" s="117" t="s">
        <v>385</v>
      </c>
      <c r="B86" s="117">
        <v>30726</v>
      </c>
      <c r="C86" s="127">
        <v>4</v>
      </c>
      <c r="D86" s="127">
        <v>1</v>
      </c>
      <c r="E86" s="128">
        <v>2</v>
      </c>
      <c r="F86" s="128">
        <v>2</v>
      </c>
    </row>
    <row r="87" spans="1:6">
      <c r="A87" s="117" t="s">
        <v>385</v>
      </c>
      <c r="B87" s="117">
        <v>30727</v>
      </c>
      <c r="C87" s="127">
        <v>4</v>
      </c>
      <c r="D87" s="127">
        <v>1</v>
      </c>
      <c r="E87" s="128">
        <v>2</v>
      </c>
      <c r="F87" s="128">
        <v>2</v>
      </c>
    </row>
    <row r="88" spans="1:6">
      <c r="A88" s="117" t="s">
        <v>385</v>
      </c>
      <c r="B88" s="117">
        <v>30728</v>
      </c>
      <c r="C88" s="127">
        <v>4</v>
      </c>
      <c r="D88" s="127">
        <v>1</v>
      </c>
      <c r="E88" s="128">
        <v>2</v>
      </c>
      <c r="F88" s="128">
        <v>2</v>
      </c>
    </row>
    <row r="89" spans="1:6">
      <c r="A89" s="117" t="s">
        <v>385</v>
      </c>
      <c r="B89" s="117">
        <v>30729</v>
      </c>
      <c r="C89" s="127">
        <v>4</v>
      </c>
      <c r="D89" s="127">
        <v>1</v>
      </c>
      <c r="E89" s="128">
        <v>2</v>
      </c>
      <c r="F89" s="128">
        <v>2</v>
      </c>
    </row>
    <row r="90" spans="1:6">
      <c r="A90" s="117" t="s">
        <v>385</v>
      </c>
      <c r="B90" s="117">
        <v>30730</v>
      </c>
      <c r="C90" s="127">
        <v>4</v>
      </c>
      <c r="D90" s="127">
        <v>1</v>
      </c>
      <c r="E90" s="128">
        <v>2</v>
      </c>
      <c r="F90" s="128">
        <v>2</v>
      </c>
    </row>
    <row r="91" spans="1:6">
      <c r="A91" s="117" t="s">
        <v>385</v>
      </c>
      <c r="B91" s="117">
        <v>30731</v>
      </c>
      <c r="C91" s="127">
        <v>4</v>
      </c>
      <c r="D91" s="127">
        <v>1</v>
      </c>
      <c r="E91" s="128">
        <v>2</v>
      </c>
      <c r="F91" s="128">
        <v>2</v>
      </c>
    </row>
    <row r="92" spans="1:6">
      <c r="A92" s="117" t="s">
        <v>385</v>
      </c>
      <c r="B92" s="117">
        <v>30732</v>
      </c>
      <c r="C92" s="127">
        <v>4</v>
      </c>
      <c r="D92" s="127">
        <v>1</v>
      </c>
      <c r="E92" s="128">
        <v>2</v>
      </c>
      <c r="F92" s="128">
        <v>2</v>
      </c>
    </row>
    <row r="93" spans="1:6">
      <c r="A93" s="117" t="s">
        <v>385</v>
      </c>
      <c r="B93" s="117">
        <v>30733</v>
      </c>
      <c r="C93" s="127">
        <v>4</v>
      </c>
      <c r="D93" s="127">
        <v>1</v>
      </c>
      <c r="E93" s="128">
        <v>2</v>
      </c>
      <c r="F93" s="128">
        <v>2</v>
      </c>
    </row>
    <row r="94" spans="1:6">
      <c r="A94" s="117" t="s">
        <v>385</v>
      </c>
      <c r="B94" s="117">
        <v>30734</v>
      </c>
      <c r="C94" s="127">
        <v>4</v>
      </c>
      <c r="D94" s="127">
        <v>1</v>
      </c>
      <c r="E94" s="128">
        <v>2</v>
      </c>
      <c r="F94" s="128">
        <v>2</v>
      </c>
    </row>
    <row r="95" spans="1:6">
      <c r="A95" s="117" t="s">
        <v>385</v>
      </c>
      <c r="B95" s="117">
        <v>30735</v>
      </c>
      <c r="C95" s="127">
        <v>4</v>
      </c>
      <c r="D95" s="127">
        <v>1</v>
      </c>
      <c r="E95" s="128">
        <v>2</v>
      </c>
      <c r="F95" s="128">
        <v>2</v>
      </c>
    </row>
    <row r="96" spans="1:6">
      <c r="A96" s="117" t="s">
        <v>385</v>
      </c>
      <c r="B96" s="117">
        <v>30736</v>
      </c>
      <c r="C96" s="127">
        <v>4</v>
      </c>
      <c r="D96" s="127">
        <v>1</v>
      </c>
      <c r="E96" s="128">
        <v>2</v>
      </c>
      <c r="F96" s="128">
        <v>2</v>
      </c>
    </row>
    <row r="97" spans="1:6">
      <c r="A97" s="117" t="s">
        <v>385</v>
      </c>
      <c r="B97" s="117">
        <v>30737</v>
      </c>
      <c r="C97" s="127">
        <v>4</v>
      </c>
      <c r="D97" s="127">
        <v>1</v>
      </c>
      <c r="E97" s="128">
        <v>2</v>
      </c>
      <c r="F97" s="128">
        <v>2</v>
      </c>
    </row>
    <row r="98" spans="1:6">
      <c r="A98" s="117" t="s">
        <v>385</v>
      </c>
      <c r="B98" s="117">
        <v>30738</v>
      </c>
      <c r="C98" s="127">
        <v>4</v>
      </c>
      <c r="D98" s="127">
        <v>1</v>
      </c>
      <c r="E98" s="128">
        <v>2</v>
      </c>
      <c r="F98" s="128">
        <v>2</v>
      </c>
    </row>
    <row r="99" spans="1:6">
      <c r="A99" s="117" t="s">
        <v>385</v>
      </c>
      <c r="B99" s="117">
        <v>30739</v>
      </c>
      <c r="C99" s="127">
        <v>4</v>
      </c>
      <c r="D99" s="127">
        <v>1</v>
      </c>
      <c r="E99" s="128">
        <v>2</v>
      </c>
      <c r="F99" s="128">
        <v>2</v>
      </c>
    </row>
    <row r="100" spans="1:6">
      <c r="A100" s="117" t="s">
        <v>385</v>
      </c>
      <c r="B100" s="117">
        <v>30740</v>
      </c>
      <c r="C100" s="127">
        <v>4</v>
      </c>
      <c r="D100" s="127">
        <v>1</v>
      </c>
      <c r="E100" s="128">
        <v>2</v>
      </c>
      <c r="F100" s="128">
        <v>2</v>
      </c>
    </row>
    <row r="101" spans="1:6">
      <c r="A101" s="117" t="s">
        <v>385</v>
      </c>
      <c r="B101" s="117">
        <v>30741</v>
      </c>
      <c r="C101" s="127">
        <v>4</v>
      </c>
      <c r="D101" s="127">
        <v>1</v>
      </c>
      <c r="E101" s="128">
        <v>2</v>
      </c>
      <c r="F101" s="128">
        <v>2</v>
      </c>
    </row>
    <row r="102" spans="1:6">
      <c r="A102" s="117" t="s">
        <v>385</v>
      </c>
      <c r="B102" s="117">
        <v>30742</v>
      </c>
      <c r="C102" s="127">
        <v>4</v>
      </c>
      <c r="D102" s="127">
        <v>1</v>
      </c>
      <c r="E102" s="128">
        <v>2</v>
      </c>
      <c r="F102" s="128">
        <v>2</v>
      </c>
    </row>
    <row r="103" spans="1:6">
      <c r="A103" s="117" t="s">
        <v>385</v>
      </c>
      <c r="B103" s="117">
        <v>30743</v>
      </c>
      <c r="C103" s="127">
        <v>4</v>
      </c>
      <c r="D103" s="127">
        <v>1</v>
      </c>
      <c r="E103" s="128">
        <v>2</v>
      </c>
      <c r="F103" s="128">
        <v>2</v>
      </c>
    </row>
    <row r="104" spans="1:6">
      <c r="A104" s="117" t="s">
        <v>385</v>
      </c>
      <c r="B104" s="117">
        <v>30744</v>
      </c>
      <c r="C104" s="127">
        <v>4</v>
      </c>
      <c r="D104" s="127">
        <v>1</v>
      </c>
      <c r="E104" s="128">
        <v>2</v>
      </c>
      <c r="F104" s="128">
        <v>2</v>
      </c>
    </row>
    <row r="105" spans="1:6">
      <c r="A105" s="117"/>
      <c r="B105" s="117"/>
      <c r="C105" s="120"/>
      <c r="D105" s="5"/>
    </row>
    <row r="106" spans="1:6">
      <c r="A106" s="117"/>
      <c r="B106" s="117"/>
      <c r="C106" s="120"/>
      <c r="D106" s="5"/>
    </row>
    <row r="107" spans="1:6">
      <c r="A107" s="117"/>
      <c r="B107" s="117"/>
      <c r="C107" s="120"/>
      <c r="D107" s="5"/>
    </row>
    <row r="108" spans="1:6">
      <c r="A108" s="5"/>
      <c r="B108" s="5"/>
      <c r="C108" s="5"/>
      <c r="D108" s="5"/>
    </row>
    <row r="109" spans="1:6">
      <c r="A109" s="5"/>
      <c r="B109" s="5"/>
      <c r="C109" s="5"/>
      <c r="D109" s="5"/>
    </row>
    <row r="110" spans="1:6">
      <c r="A110" s="5"/>
      <c r="B110" s="5"/>
      <c r="C110" s="5"/>
      <c r="D110" s="5"/>
    </row>
    <row r="111" spans="1:6">
      <c r="A111" s="5"/>
      <c r="B111" s="5"/>
      <c r="C111" s="5"/>
      <c r="D111" s="5"/>
    </row>
    <row r="112" spans="1:6">
      <c r="A112" s="5"/>
      <c r="B112" s="5"/>
      <c r="C112" s="5"/>
      <c r="D112" s="5"/>
    </row>
    <row r="113" spans="1:4">
      <c r="A113" s="5"/>
      <c r="B113" s="5"/>
      <c r="C113" s="5"/>
      <c r="D113" s="5"/>
    </row>
    <row r="114" spans="1:4">
      <c r="A114" s="5"/>
      <c r="B114" s="5"/>
      <c r="C114" s="5"/>
      <c r="D114" s="5"/>
    </row>
    <row r="115" spans="1:4">
      <c r="A115" s="5"/>
      <c r="B115" s="5"/>
      <c r="C115" s="5"/>
      <c r="D115" s="5"/>
    </row>
    <row r="116" spans="1:4">
      <c r="A116" s="5"/>
      <c r="B116" s="5"/>
      <c r="C116" s="5"/>
      <c r="D116" s="5"/>
    </row>
    <row r="117" spans="1:4">
      <c r="A117" s="5"/>
      <c r="B117" s="5"/>
      <c r="C117" s="5"/>
      <c r="D117" s="5"/>
    </row>
    <row r="118" spans="1:4">
      <c r="A118" s="5"/>
      <c r="B118" s="5"/>
      <c r="C118" s="5"/>
      <c r="D118" s="5"/>
    </row>
    <row r="119" spans="1:4">
      <c r="A119" s="5"/>
      <c r="B119" s="5"/>
      <c r="C119" s="5"/>
      <c r="D119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19"/>
  <sheetViews>
    <sheetView workbookViewId="0">
      <selection activeCell="D42" sqref="D42"/>
    </sheetView>
  </sheetViews>
  <sheetFormatPr defaultColWidth="8.85546875" defaultRowHeight="12.75"/>
  <cols>
    <col min="1" max="1" width="15.42578125" bestFit="1" customWidth="1"/>
    <col min="2" max="2" width="19.7109375" bestFit="1" customWidth="1"/>
    <col min="3" max="3" width="16.5703125" style="112" customWidth="1"/>
    <col min="4" max="4" width="18.5703125" style="114" customWidth="1"/>
    <col min="5" max="5" width="18.5703125" customWidth="1"/>
    <col min="6" max="6" width="20.140625" customWidth="1"/>
    <col min="7" max="7" width="19.7109375" customWidth="1"/>
  </cols>
  <sheetData>
    <row r="1" spans="1:7" ht="66" customHeight="1">
      <c r="A1" s="6" t="s">
        <v>361</v>
      </c>
      <c r="B1" s="6" t="s">
        <v>362</v>
      </c>
      <c r="C1" s="119" t="s">
        <v>398</v>
      </c>
      <c r="D1" s="119" t="s">
        <v>396</v>
      </c>
      <c r="E1" s="119" t="s">
        <v>395</v>
      </c>
      <c r="F1" s="119" t="s">
        <v>397</v>
      </c>
      <c r="G1" s="119" t="s">
        <v>394</v>
      </c>
    </row>
    <row r="2" spans="1:7">
      <c r="A2" s="5" t="s">
        <v>382</v>
      </c>
      <c r="B2" s="5">
        <v>31001</v>
      </c>
      <c r="C2" s="126"/>
      <c r="D2" s="127">
        <v>8</v>
      </c>
      <c r="E2" s="127">
        <v>1</v>
      </c>
      <c r="F2" s="128">
        <v>2</v>
      </c>
      <c r="G2" s="128">
        <v>2</v>
      </c>
    </row>
    <row r="3" spans="1:7">
      <c r="A3" s="5" t="s">
        <v>382</v>
      </c>
      <c r="B3" s="5">
        <v>31003</v>
      </c>
      <c r="C3" s="126">
        <v>8</v>
      </c>
      <c r="D3" s="127"/>
      <c r="E3" s="127">
        <v>1</v>
      </c>
      <c r="F3" s="128">
        <v>2</v>
      </c>
      <c r="G3" s="128">
        <v>2</v>
      </c>
    </row>
    <row r="4" spans="1:7">
      <c r="A4" s="5" t="s">
        <v>382</v>
      </c>
      <c r="B4" s="5">
        <v>31011</v>
      </c>
      <c r="C4" s="126">
        <v>8</v>
      </c>
      <c r="D4" s="127"/>
      <c r="E4" s="127">
        <v>1</v>
      </c>
      <c r="F4" s="128">
        <v>2</v>
      </c>
      <c r="G4" s="128">
        <v>2</v>
      </c>
    </row>
    <row r="5" spans="1:7">
      <c r="A5" s="5" t="s">
        <v>382</v>
      </c>
      <c r="B5" s="5">
        <v>31013</v>
      </c>
      <c r="C5" s="126">
        <v>8</v>
      </c>
      <c r="D5" s="127"/>
      <c r="E5" s="127">
        <v>1</v>
      </c>
      <c r="F5" s="128">
        <v>2</v>
      </c>
      <c r="G5" s="128">
        <v>2</v>
      </c>
    </row>
    <row r="6" spans="1:7">
      <c r="A6" s="5" t="s">
        <v>382</v>
      </c>
      <c r="B6" s="5">
        <v>31015</v>
      </c>
      <c r="C6" s="126">
        <v>8</v>
      </c>
      <c r="D6" s="127"/>
      <c r="E6" s="127">
        <v>1</v>
      </c>
      <c r="F6" s="128">
        <v>2</v>
      </c>
      <c r="G6" s="128">
        <v>2</v>
      </c>
    </row>
    <row r="7" spans="1:7">
      <c r="A7" s="5" t="s">
        <v>382</v>
      </c>
      <c r="B7" s="5">
        <v>31021</v>
      </c>
      <c r="C7" s="126">
        <v>8</v>
      </c>
      <c r="D7" s="127"/>
      <c r="E7" s="127">
        <v>1</v>
      </c>
      <c r="F7" s="128">
        <v>2</v>
      </c>
      <c r="G7" s="128">
        <v>2</v>
      </c>
    </row>
    <row r="8" spans="1:7">
      <c r="A8" s="5" t="s">
        <v>382</v>
      </c>
      <c r="B8" s="5">
        <v>31026</v>
      </c>
      <c r="C8" s="126">
        <v>8</v>
      </c>
      <c r="D8" s="127"/>
      <c r="E8" s="127">
        <v>1</v>
      </c>
      <c r="F8" s="128">
        <v>2</v>
      </c>
      <c r="G8" s="128">
        <v>2</v>
      </c>
    </row>
    <row r="9" spans="1:7">
      <c r="A9" s="5" t="s">
        <v>382</v>
      </c>
      <c r="B9" s="5">
        <v>31027</v>
      </c>
      <c r="C9" s="126">
        <v>8</v>
      </c>
      <c r="D9" s="127"/>
      <c r="E9" s="127">
        <v>1</v>
      </c>
      <c r="F9" s="128">
        <v>2</v>
      </c>
      <c r="G9" s="128">
        <v>2</v>
      </c>
    </row>
    <row r="10" spans="1:7">
      <c r="A10" s="5" t="s">
        <v>382</v>
      </c>
      <c r="B10" s="5">
        <v>31031</v>
      </c>
      <c r="C10" s="126">
        <v>8</v>
      </c>
      <c r="D10" s="127"/>
      <c r="E10" s="127">
        <v>1</v>
      </c>
      <c r="F10" s="128">
        <v>2</v>
      </c>
      <c r="G10" s="128">
        <v>2</v>
      </c>
    </row>
    <row r="11" spans="1:7">
      <c r="A11" s="5" t="s">
        <v>382</v>
      </c>
      <c r="B11" s="5">
        <v>31032</v>
      </c>
      <c r="C11" s="126">
        <v>8</v>
      </c>
      <c r="D11" s="127"/>
      <c r="E11" s="127">
        <v>1</v>
      </c>
      <c r="F11" s="128">
        <v>2</v>
      </c>
      <c r="G11" s="128">
        <v>2</v>
      </c>
    </row>
    <row r="12" spans="1:7">
      <c r="A12" s="5" t="s">
        <v>382</v>
      </c>
      <c r="B12" s="5">
        <v>31033</v>
      </c>
      <c r="C12" s="126">
        <v>8</v>
      </c>
      <c r="D12" s="127"/>
      <c r="E12" s="127">
        <v>1</v>
      </c>
      <c r="F12" s="128">
        <v>2</v>
      </c>
      <c r="G12" s="128">
        <v>2</v>
      </c>
    </row>
    <row r="13" spans="1:7">
      <c r="A13" s="5" t="s">
        <v>382</v>
      </c>
      <c r="B13" s="5">
        <v>31034</v>
      </c>
      <c r="C13" s="126">
        <v>8</v>
      </c>
      <c r="D13" s="127"/>
      <c r="E13" s="127">
        <v>1</v>
      </c>
      <c r="F13" s="128">
        <v>2</v>
      </c>
      <c r="G13" s="128">
        <v>2</v>
      </c>
    </row>
    <row r="14" spans="1:7">
      <c r="A14" s="5" t="s">
        <v>382</v>
      </c>
      <c r="B14" s="5">
        <v>31036</v>
      </c>
      <c r="C14" s="126">
        <v>8</v>
      </c>
      <c r="D14" s="127"/>
      <c r="E14" s="127">
        <v>1</v>
      </c>
      <c r="F14" s="128">
        <v>2</v>
      </c>
      <c r="G14" s="128">
        <v>2</v>
      </c>
    </row>
    <row r="15" spans="1:7">
      <c r="A15" s="5" t="s">
        <v>382</v>
      </c>
      <c r="B15" s="5">
        <v>31039</v>
      </c>
      <c r="C15" s="126">
        <v>8</v>
      </c>
      <c r="D15" s="127"/>
      <c r="E15" s="127">
        <v>1</v>
      </c>
      <c r="F15" s="128">
        <v>2</v>
      </c>
      <c r="G15" s="128">
        <v>2</v>
      </c>
    </row>
    <row r="16" spans="1:7">
      <c r="A16" s="5" t="s">
        <v>382</v>
      </c>
      <c r="B16" s="5">
        <v>31040</v>
      </c>
      <c r="C16" s="126">
        <v>8</v>
      </c>
      <c r="D16" s="127"/>
      <c r="E16" s="127">
        <v>1</v>
      </c>
      <c r="F16" s="128">
        <v>2</v>
      </c>
      <c r="G16" s="128">
        <v>2</v>
      </c>
    </row>
    <row r="17" spans="1:7">
      <c r="A17" s="5" t="s">
        <v>382</v>
      </c>
      <c r="B17" s="5">
        <v>31041</v>
      </c>
      <c r="C17" s="126">
        <v>8</v>
      </c>
      <c r="D17" s="127"/>
      <c r="E17" s="127">
        <v>1</v>
      </c>
      <c r="F17" s="128">
        <v>2</v>
      </c>
      <c r="G17" s="128">
        <v>2</v>
      </c>
    </row>
    <row r="18" spans="1:7">
      <c r="A18" s="5" t="s">
        <v>382</v>
      </c>
      <c r="B18" s="5">
        <v>31043</v>
      </c>
      <c r="C18" s="126"/>
      <c r="D18" s="127">
        <v>8</v>
      </c>
      <c r="E18" s="127">
        <v>1</v>
      </c>
      <c r="F18" s="128">
        <v>2</v>
      </c>
      <c r="G18" s="128">
        <v>2</v>
      </c>
    </row>
    <row r="19" spans="1:7">
      <c r="A19" s="5" t="s">
        <v>382</v>
      </c>
      <c r="B19" s="5">
        <v>31044</v>
      </c>
      <c r="C19" s="126"/>
      <c r="D19" s="127">
        <v>8</v>
      </c>
      <c r="E19" s="127">
        <v>1</v>
      </c>
      <c r="F19" s="128">
        <v>2</v>
      </c>
      <c r="G19" s="128">
        <v>2</v>
      </c>
    </row>
    <row r="20" spans="1:7">
      <c r="A20" s="5" t="s">
        <v>382</v>
      </c>
      <c r="B20" s="5">
        <v>31045</v>
      </c>
      <c r="C20" s="126"/>
      <c r="D20" s="127">
        <v>8</v>
      </c>
      <c r="E20" s="127">
        <v>1</v>
      </c>
      <c r="F20" s="128">
        <v>2</v>
      </c>
      <c r="G20" s="128">
        <v>2</v>
      </c>
    </row>
    <row r="21" spans="1:7">
      <c r="A21" s="5" t="s">
        <v>382</v>
      </c>
      <c r="B21" s="5">
        <v>31046</v>
      </c>
      <c r="C21" s="126"/>
      <c r="D21" s="127">
        <v>8</v>
      </c>
      <c r="E21" s="127">
        <v>1</v>
      </c>
      <c r="F21" s="128">
        <v>2</v>
      </c>
      <c r="G21" s="128">
        <v>2</v>
      </c>
    </row>
    <row r="22" spans="1:7">
      <c r="A22" s="5" t="s">
        <v>382</v>
      </c>
      <c r="B22" s="5">
        <v>31047</v>
      </c>
      <c r="C22" s="126"/>
      <c r="D22" s="127">
        <v>8</v>
      </c>
      <c r="E22" s="127">
        <v>1</v>
      </c>
      <c r="F22" s="128">
        <v>2</v>
      </c>
      <c r="G22" s="128">
        <v>2</v>
      </c>
    </row>
    <row r="23" spans="1:7">
      <c r="A23" s="5" t="s">
        <v>382</v>
      </c>
      <c r="B23" s="5">
        <v>31048</v>
      </c>
      <c r="C23" s="126">
        <v>8</v>
      </c>
      <c r="D23" s="127"/>
      <c r="E23" s="127">
        <v>1</v>
      </c>
      <c r="F23" s="128">
        <v>2</v>
      </c>
      <c r="G23" s="128">
        <v>2</v>
      </c>
    </row>
    <row r="24" spans="1:7">
      <c r="A24" s="5" t="s">
        <v>382</v>
      </c>
      <c r="B24" s="5">
        <v>31049</v>
      </c>
      <c r="C24" s="126"/>
      <c r="D24" s="127">
        <v>8</v>
      </c>
      <c r="E24" s="127">
        <v>1</v>
      </c>
      <c r="F24" s="128">
        <v>2</v>
      </c>
      <c r="G24" s="128">
        <v>2</v>
      </c>
    </row>
    <row r="25" spans="1:7">
      <c r="A25" s="5" t="s">
        <v>382</v>
      </c>
      <c r="B25" s="5">
        <v>31052</v>
      </c>
      <c r="C25" s="126">
        <v>8</v>
      </c>
      <c r="D25" s="127"/>
      <c r="E25" s="127">
        <v>1</v>
      </c>
      <c r="F25" s="128">
        <v>2</v>
      </c>
      <c r="G25" s="128">
        <v>2</v>
      </c>
    </row>
    <row r="26" spans="1:7">
      <c r="A26" s="5" t="s">
        <v>382</v>
      </c>
      <c r="B26" s="5">
        <v>31054</v>
      </c>
      <c r="C26" s="126"/>
      <c r="D26" s="127">
        <v>8</v>
      </c>
      <c r="E26" s="127">
        <v>1</v>
      </c>
      <c r="F26" s="128">
        <v>2</v>
      </c>
      <c r="G26" s="128">
        <v>2</v>
      </c>
    </row>
    <row r="27" spans="1:7">
      <c r="A27" s="5" t="s">
        <v>382</v>
      </c>
      <c r="B27" s="5">
        <v>31055</v>
      </c>
      <c r="C27" s="126"/>
      <c r="D27" s="127">
        <v>8</v>
      </c>
      <c r="E27" s="127">
        <v>1</v>
      </c>
      <c r="F27" s="128">
        <v>2</v>
      </c>
      <c r="G27" s="128">
        <v>2</v>
      </c>
    </row>
    <row r="28" spans="1:7">
      <c r="A28" s="5" t="s">
        <v>382</v>
      </c>
      <c r="B28" s="5">
        <v>31058</v>
      </c>
      <c r="C28" s="126"/>
      <c r="D28" s="127">
        <v>8</v>
      </c>
      <c r="E28" s="127">
        <v>1</v>
      </c>
      <c r="F28" s="128">
        <v>2</v>
      </c>
      <c r="G28" s="128">
        <v>2</v>
      </c>
    </row>
    <row r="29" spans="1:7">
      <c r="A29" s="5" t="s">
        <v>382</v>
      </c>
      <c r="B29" s="5">
        <v>31059</v>
      </c>
      <c r="C29" s="126"/>
      <c r="D29" s="127">
        <v>8</v>
      </c>
      <c r="E29" s="127">
        <v>1</v>
      </c>
      <c r="F29" s="128">
        <v>2</v>
      </c>
      <c r="G29" s="128">
        <v>2</v>
      </c>
    </row>
    <row r="30" spans="1:7">
      <c r="A30" s="5" t="s">
        <v>382</v>
      </c>
      <c r="B30" s="5">
        <v>31060</v>
      </c>
      <c r="C30" s="126"/>
      <c r="D30" s="127">
        <v>8</v>
      </c>
      <c r="E30" s="127">
        <v>1</v>
      </c>
      <c r="F30" s="128">
        <v>2</v>
      </c>
      <c r="G30" s="128">
        <v>2</v>
      </c>
    </row>
    <row r="31" spans="1:7">
      <c r="A31" s="5" t="s">
        <v>382</v>
      </c>
      <c r="B31" s="5">
        <v>31062</v>
      </c>
      <c r="C31" s="126"/>
      <c r="D31" s="127">
        <v>8</v>
      </c>
      <c r="E31" s="127">
        <v>1</v>
      </c>
      <c r="F31" s="128">
        <v>2</v>
      </c>
      <c r="G31" s="128">
        <v>2</v>
      </c>
    </row>
    <row r="32" spans="1:7">
      <c r="A32" s="5" t="s">
        <v>382</v>
      </c>
      <c r="B32" s="5">
        <v>31064</v>
      </c>
      <c r="C32" s="126"/>
      <c r="D32" s="127">
        <v>8</v>
      </c>
      <c r="E32" s="127">
        <v>1</v>
      </c>
      <c r="F32" s="128">
        <v>2</v>
      </c>
      <c r="G32" s="128">
        <v>2</v>
      </c>
    </row>
    <row r="33" spans="1:7">
      <c r="A33" s="5" t="s">
        <v>382</v>
      </c>
      <c r="B33" s="5">
        <v>31065</v>
      </c>
      <c r="C33" s="126"/>
      <c r="D33" s="127">
        <v>8</v>
      </c>
      <c r="E33" s="127">
        <v>1</v>
      </c>
      <c r="F33" s="128">
        <v>2</v>
      </c>
      <c r="G33" s="128">
        <v>2</v>
      </c>
    </row>
    <row r="34" spans="1:7">
      <c r="A34" s="5" t="s">
        <v>382</v>
      </c>
      <c r="B34" s="5">
        <v>31066</v>
      </c>
      <c r="C34" s="126"/>
      <c r="D34" s="127">
        <v>8</v>
      </c>
      <c r="E34" s="127">
        <v>1</v>
      </c>
      <c r="F34" s="128">
        <v>2</v>
      </c>
      <c r="G34" s="128">
        <v>2</v>
      </c>
    </row>
    <row r="35" spans="1:7">
      <c r="A35" s="5" t="s">
        <v>382</v>
      </c>
      <c r="B35" s="5">
        <v>31067</v>
      </c>
      <c r="C35" s="126"/>
      <c r="D35" s="127">
        <v>8</v>
      </c>
      <c r="E35" s="127">
        <v>1</v>
      </c>
      <c r="F35" s="128">
        <v>2</v>
      </c>
      <c r="G35" s="128">
        <v>2</v>
      </c>
    </row>
    <row r="36" spans="1:7">
      <c r="A36" s="5" t="s">
        <v>382</v>
      </c>
      <c r="B36" s="5">
        <v>31068</v>
      </c>
      <c r="C36" s="126"/>
      <c r="D36" s="127">
        <v>8</v>
      </c>
      <c r="E36" s="127">
        <v>1</v>
      </c>
      <c r="F36" s="128">
        <v>2</v>
      </c>
      <c r="G36" s="128">
        <v>2</v>
      </c>
    </row>
    <row r="37" spans="1:7">
      <c r="A37" s="5" t="s">
        <v>382</v>
      </c>
      <c r="B37" s="5">
        <v>31070</v>
      </c>
      <c r="C37" s="126"/>
      <c r="D37" s="127">
        <v>8</v>
      </c>
      <c r="E37" s="127">
        <v>1</v>
      </c>
      <c r="F37" s="128">
        <v>2</v>
      </c>
      <c r="G37" s="128">
        <v>2</v>
      </c>
    </row>
    <row r="38" spans="1:7">
      <c r="A38" s="5" t="s">
        <v>382</v>
      </c>
      <c r="B38" s="5">
        <v>31073</v>
      </c>
      <c r="C38" s="126"/>
      <c r="D38" s="127">
        <v>8</v>
      </c>
      <c r="E38" s="127">
        <v>1</v>
      </c>
      <c r="F38" s="128">
        <v>2</v>
      </c>
      <c r="G38" s="128">
        <v>2</v>
      </c>
    </row>
    <row r="39" spans="1:7">
      <c r="A39" s="5" t="s">
        <v>382</v>
      </c>
      <c r="B39" s="5">
        <v>31074</v>
      </c>
      <c r="C39" s="126"/>
      <c r="D39" s="127">
        <v>8</v>
      </c>
      <c r="E39" s="127">
        <v>1</v>
      </c>
      <c r="F39" s="128">
        <v>2</v>
      </c>
      <c r="G39" s="128">
        <v>2</v>
      </c>
    </row>
    <row r="40" spans="1:7">
      <c r="A40" s="5" t="s">
        <v>382</v>
      </c>
      <c r="B40" s="5">
        <v>31075</v>
      </c>
      <c r="C40" s="126"/>
      <c r="D40" s="127">
        <v>8</v>
      </c>
      <c r="E40" s="127">
        <v>1</v>
      </c>
      <c r="F40" s="128">
        <v>2</v>
      </c>
      <c r="G40" s="128">
        <v>2</v>
      </c>
    </row>
    <row r="41" spans="1:7">
      <c r="A41" s="5" t="s">
        <v>382</v>
      </c>
      <c r="B41" s="5">
        <v>31076</v>
      </c>
      <c r="C41" s="126"/>
      <c r="D41" s="127">
        <v>8</v>
      </c>
      <c r="E41" s="127">
        <v>1</v>
      </c>
      <c r="F41" s="128">
        <v>2</v>
      </c>
      <c r="G41" s="128">
        <v>2</v>
      </c>
    </row>
    <row r="42" spans="1:7">
      <c r="A42" s="5" t="s">
        <v>382</v>
      </c>
      <c r="B42" s="5">
        <v>31077</v>
      </c>
      <c r="C42" s="126"/>
      <c r="D42" s="127">
        <v>8</v>
      </c>
      <c r="E42" s="127">
        <v>1</v>
      </c>
      <c r="F42" s="128">
        <v>2</v>
      </c>
      <c r="G42" s="128">
        <v>2</v>
      </c>
    </row>
    <row r="43" spans="1:7">
      <c r="A43" s="5" t="s">
        <v>382</v>
      </c>
      <c r="B43" s="5">
        <v>31079</v>
      </c>
      <c r="C43" s="126"/>
      <c r="D43" s="127">
        <v>8</v>
      </c>
      <c r="E43" s="127">
        <v>1</v>
      </c>
      <c r="F43" s="128">
        <v>2</v>
      </c>
      <c r="G43" s="128">
        <v>2</v>
      </c>
    </row>
    <row r="44" spans="1:7">
      <c r="A44" s="5" t="s">
        <v>382</v>
      </c>
      <c r="B44" s="5">
        <v>31080</v>
      </c>
      <c r="C44" s="126"/>
      <c r="D44" s="127">
        <v>8</v>
      </c>
      <c r="E44" s="127">
        <v>1</v>
      </c>
      <c r="F44" s="128">
        <v>2</v>
      </c>
      <c r="G44" s="128">
        <v>2</v>
      </c>
    </row>
    <row r="45" spans="1:7">
      <c r="A45" s="5" t="s">
        <v>382</v>
      </c>
      <c r="B45" s="5">
        <v>31081</v>
      </c>
      <c r="C45" s="126"/>
      <c r="D45" s="127">
        <v>8</v>
      </c>
      <c r="E45" s="127">
        <v>1</v>
      </c>
      <c r="F45" s="128">
        <v>2</v>
      </c>
      <c r="G45" s="128">
        <v>2</v>
      </c>
    </row>
    <row r="46" spans="1:7">
      <c r="A46" s="5" t="s">
        <v>382</v>
      </c>
      <c r="B46" s="5">
        <v>31082</v>
      </c>
      <c r="C46" s="126"/>
      <c r="D46" s="127">
        <v>8</v>
      </c>
      <c r="E46" s="127">
        <v>1</v>
      </c>
      <c r="F46" s="128">
        <v>2</v>
      </c>
      <c r="G46" s="128">
        <v>2</v>
      </c>
    </row>
    <row r="47" spans="1:7">
      <c r="A47" s="5" t="s">
        <v>382</v>
      </c>
      <c r="B47" s="5">
        <v>31084</v>
      </c>
      <c r="C47" s="126"/>
      <c r="D47" s="127">
        <v>8</v>
      </c>
      <c r="E47" s="127">
        <v>1</v>
      </c>
      <c r="F47" s="128">
        <v>2</v>
      </c>
      <c r="G47" s="128">
        <v>2</v>
      </c>
    </row>
    <row r="48" spans="1:7">
      <c r="A48" s="5" t="s">
        <v>382</v>
      </c>
      <c r="B48" s="5">
        <v>31086</v>
      </c>
      <c r="C48" s="126"/>
      <c r="D48" s="127">
        <v>8</v>
      </c>
      <c r="E48" s="127">
        <v>1</v>
      </c>
      <c r="F48" s="128">
        <v>2</v>
      </c>
      <c r="G48" s="128">
        <v>2</v>
      </c>
    </row>
    <row r="49" spans="1:7">
      <c r="A49" s="5" t="s">
        <v>382</v>
      </c>
      <c r="B49" s="5">
        <v>31089</v>
      </c>
      <c r="C49" s="126"/>
      <c r="D49" s="127">
        <v>8</v>
      </c>
      <c r="E49" s="127">
        <v>1</v>
      </c>
      <c r="F49" s="128">
        <v>2</v>
      </c>
      <c r="G49" s="128">
        <v>2</v>
      </c>
    </row>
    <row r="50" spans="1:7">
      <c r="A50" s="5" t="s">
        <v>382</v>
      </c>
      <c r="B50" s="5">
        <v>31090</v>
      </c>
      <c r="C50" s="126"/>
      <c r="D50" s="127">
        <v>8</v>
      </c>
      <c r="E50" s="127">
        <v>1</v>
      </c>
      <c r="F50" s="128">
        <v>2</v>
      </c>
      <c r="G50" s="128">
        <v>2</v>
      </c>
    </row>
    <row r="51" spans="1:7">
      <c r="A51" s="5" t="s">
        <v>382</v>
      </c>
      <c r="B51" s="5">
        <v>31091</v>
      </c>
      <c r="C51" s="126"/>
      <c r="D51" s="127">
        <v>8</v>
      </c>
      <c r="E51" s="127">
        <v>1</v>
      </c>
      <c r="F51" s="128">
        <v>2</v>
      </c>
      <c r="G51" s="128">
        <v>2</v>
      </c>
    </row>
    <row r="52" spans="1:7">
      <c r="A52" s="5" t="s">
        <v>382</v>
      </c>
      <c r="B52" s="5">
        <v>31091</v>
      </c>
      <c r="C52" s="126"/>
      <c r="D52" s="127">
        <v>8</v>
      </c>
      <c r="E52" s="127">
        <v>1</v>
      </c>
      <c r="F52" s="128">
        <v>2</v>
      </c>
      <c r="G52" s="128">
        <v>2</v>
      </c>
    </row>
    <row r="53" spans="1:7">
      <c r="A53" s="5" t="s">
        <v>382</v>
      </c>
      <c r="B53" s="5">
        <v>31092</v>
      </c>
      <c r="C53" s="126"/>
      <c r="D53" s="127">
        <v>8</v>
      </c>
      <c r="E53" s="127">
        <v>1</v>
      </c>
      <c r="F53" s="128">
        <v>2</v>
      </c>
      <c r="G53" s="128">
        <v>2</v>
      </c>
    </row>
    <row r="54" spans="1:7">
      <c r="A54" s="5" t="s">
        <v>382</v>
      </c>
      <c r="B54" s="5">
        <v>31093</v>
      </c>
      <c r="C54" s="126">
        <v>8</v>
      </c>
      <c r="D54" s="127"/>
      <c r="E54" s="127">
        <v>1</v>
      </c>
      <c r="F54" s="128">
        <v>2</v>
      </c>
      <c r="G54" s="128">
        <v>2</v>
      </c>
    </row>
    <row r="55" spans="1:7">
      <c r="A55" s="5" t="s">
        <v>382</v>
      </c>
      <c r="B55" s="5">
        <v>31094</v>
      </c>
      <c r="C55" s="126">
        <v>8</v>
      </c>
      <c r="D55" s="127"/>
      <c r="E55" s="127">
        <v>1</v>
      </c>
      <c r="F55" s="128">
        <v>2</v>
      </c>
      <c r="G55" s="128">
        <v>2</v>
      </c>
    </row>
    <row r="56" spans="1:7">
      <c r="A56" s="5" t="s">
        <v>382</v>
      </c>
      <c r="B56" s="5">
        <v>31095</v>
      </c>
      <c r="C56" s="126"/>
      <c r="D56" s="127">
        <v>8</v>
      </c>
      <c r="E56" s="127">
        <v>1</v>
      </c>
      <c r="F56" s="128">
        <v>2</v>
      </c>
      <c r="G56" s="128">
        <v>2</v>
      </c>
    </row>
    <row r="57" spans="1:7">
      <c r="A57" s="5" t="s">
        <v>382</v>
      </c>
      <c r="B57" s="5">
        <v>31096</v>
      </c>
      <c r="C57" s="126">
        <v>8</v>
      </c>
      <c r="D57" s="127"/>
      <c r="E57" s="127">
        <v>1</v>
      </c>
      <c r="F57" s="128">
        <v>2</v>
      </c>
      <c r="G57" s="128">
        <v>2</v>
      </c>
    </row>
    <row r="58" spans="1:7">
      <c r="A58" s="5" t="s">
        <v>382</v>
      </c>
      <c r="B58" s="5">
        <v>31097</v>
      </c>
      <c r="C58" s="126"/>
      <c r="D58" s="127">
        <v>8</v>
      </c>
      <c r="E58" s="127">
        <v>1</v>
      </c>
      <c r="F58" s="128">
        <v>2</v>
      </c>
      <c r="G58" s="128">
        <v>2</v>
      </c>
    </row>
    <row r="59" spans="1:7">
      <c r="A59" s="5" t="s">
        <v>382</v>
      </c>
      <c r="B59" s="5">
        <v>31098</v>
      </c>
      <c r="C59" s="126"/>
      <c r="D59" s="127">
        <v>8</v>
      </c>
      <c r="E59" s="127">
        <v>1</v>
      </c>
      <c r="F59" s="128">
        <v>2</v>
      </c>
      <c r="G59" s="128">
        <v>2</v>
      </c>
    </row>
    <row r="60" spans="1:7">
      <c r="A60" s="5" t="s">
        <v>382</v>
      </c>
      <c r="B60" s="5">
        <v>31099</v>
      </c>
      <c r="C60" s="126">
        <v>8</v>
      </c>
      <c r="D60" s="127"/>
      <c r="E60" s="127">
        <v>1</v>
      </c>
      <c r="F60" s="128">
        <v>2</v>
      </c>
      <c r="G60" s="128">
        <v>2</v>
      </c>
    </row>
    <row r="61" spans="1:7">
      <c r="A61" s="5" t="s">
        <v>382</v>
      </c>
      <c r="B61" s="5">
        <v>31102</v>
      </c>
      <c r="C61" s="126"/>
      <c r="D61" s="127">
        <v>8</v>
      </c>
      <c r="E61" s="127">
        <v>1</v>
      </c>
      <c r="F61" s="128">
        <v>2</v>
      </c>
      <c r="G61" s="128">
        <v>2</v>
      </c>
    </row>
    <row r="62" spans="1:7">
      <c r="A62" s="5" t="s">
        <v>382</v>
      </c>
      <c r="B62" s="5">
        <v>31103</v>
      </c>
      <c r="C62" s="126"/>
      <c r="D62" s="127">
        <v>8</v>
      </c>
      <c r="E62" s="127">
        <v>1</v>
      </c>
      <c r="F62" s="128">
        <v>2</v>
      </c>
      <c r="G62" s="128">
        <v>2</v>
      </c>
    </row>
    <row r="63" spans="1:7">
      <c r="A63" s="5" t="s">
        <v>382</v>
      </c>
      <c r="B63" s="5">
        <v>31104</v>
      </c>
      <c r="C63" s="126"/>
      <c r="D63" s="127">
        <v>8</v>
      </c>
      <c r="E63" s="127">
        <v>1</v>
      </c>
      <c r="F63" s="128">
        <v>2</v>
      </c>
      <c r="G63" s="128">
        <v>2</v>
      </c>
    </row>
    <row r="64" spans="1:7">
      <c r="A64" s="5" t="s">
        <v>382</v>
      </c>
      <c r="B64" s="5">
        <v>31106</v>
      </c>
      <c r="C64" s="126"/>
      <c r="D64" s="127">
        <v>8</v>
      </c>
      <c r="E64" s="127">
        <v>1</v>
      </c>
      <c r="F64" s="128">
        <v>2</v>
      </c>
      <c r="G64" s="128">
        <v>2</v>
      </c>
    </row>
    <row r="65" spans="1:7">
      <c r="A65" s="5" t="s">
        <v>382</v>
      </c>
      <c r="B65" s="5">
        <v>31107</v>
      </c>
      <c r="C65" s="126"/>
      <c r="D65" s="127">
        <v>8</v>
      </c>
      <c r="E65" s="127">
        <v>1</v>
      </c>
      <c r="F65" s="128">
        <v>2</v>
      </c>
      <c r="G65" s="128">
        <v>2</v>
      </c>
    </row>
    <row r="66" spans="1:7">
      <c r="A66" s="5" t="s">
        <v>382</v>
      </c>
      <c r="B66" s="5">
        <v>31109</v>
      </c>
      <c r="C66" s="126"/>
      <c r="D66" s="127">
        <v>8</v>
      </c>
      <c r="E66" s="127">
        <v>1</v>
      </c>
      <c r="F66" s="128">
        <v>2</v>
      </c>
      <c r="G66" s="128">
        <v>2</v>
      </c>
    </row>
    <row r="67" spans="1:7">
      <c r="A67" s="5" t="s">
        <v>382</v>
      </c>
      <c r="B67" s="5">
        <v>31110</v>
      </c>
      <c r="C67" s="126"/>
      <c r="D67" s="127">
        <v>8</v>
      </c>
      <c r="E67" s="127">
        <v>1</v>
      </c>
      <c r="F67" s="128">
        <v>2</v>
      </c>
      <c r="G67" s="128">
        <v>2</v>
      </c>
    </row>
    <row r="68" spans="1:7">
      <c r="A68" s="5" t="s">
        <v>382</v>
      </c>
      <c r="B68" s="5">
        <v>31111</v>
      </c>
      <c r="C68" s="126"/>
      <c r="D68" s="127">
        <v>8</v>
      </c>
      <c r="E68" s="127">
        <v>1</v>
      </c>
      <c r="F68" s="128">
        <v>2</v>
      </c>
      <c r="G68" s="128">
        <v>2</v>
      </c>
    </row>
    <row r="69" spans="1:7">
      <c r="A69" s="5" t="s">
        <v>382</v>
      </c>
      <c r="B69" s="5">
        <v>31115</v>
      </c>
      <c r="C69" s="126"/>
      <c r="D69" s="127">
        <v>8</v>
      </c>
      <c r="E69" s="127">
        <v>1</v>
      </c>
      <c r="F69" s="128">
        <v>2</v>
      </c>
      <c r="G69" s="128">
        <v>2</v>
      </c>
    </row>
    <row r="70" spans="1:7">
      <c r="A70" s="5" t="s">
        <v>382</v>
      </c>
      <c r="B70" s="5">
        <v>31118</v>
      </c>
      <c r="C70" s="126"/>
      <c r="D70" s="127">
        <v>8</v>
      </c>
      <c r="E70" s="127">
        <v>1</v>
      </c>
      <c r="F70" s="128">
        <v>2</v>
      </c>
      <c r="G70" s="128">
        <v>2</v>
      </c>
    </row>
    <row r="71" spans="1:7">
      <c r="A71" s="5" t="s">
        <v>382</v>
      </c>
      <c r="B71" s="5">
        <v>31120</v>
      </c>
      <c r="C71" s="126">
        <v>8</v>
      </c>
      <c r="D71" s="127"/>
      <c r="E71" s="127">
        <v>1</v>
      </c>
      <c r="F71" s="128">
        <v>2</v>
      </c>
      <c r="G71" s="128">
        <v>2</v>
      </c>
    </row>
    <row r="72" spans="1:7">
      <c r="A72" s="5" t="s">
        <v>382</v>
      </c>
      <c r="B72" s="5">
        <v>31123</v>
      </c>
      <c r="C72" s="126"/>
      <c r="D72" s="127">
        <v>8</v>
      </c>
      <c r="E72" s="127">
        <v>1</v>
      </c>
      <c r="F72" s="128">
        <v>2</v>
      </c>
      <c r="G72" s="128">
        <v>2</v>
      </c>
    </row>
    <row r="73" spans="1:7">
      <c r="A73" s="5" t="s">
        <v>382</v>
      </c>
      <c r="B73" s="5">
        <v>31124</v>
      </c>
      <c r="C73" s="126"/>
      <c r="D73" s="127">
        <v>8</v>
      </c>
      <c r="E73" s="127">
        <v>1</v>
      </c>
      <c r="F73" s="128">
        <v>2</v>
      </c>
      <c r="G73" s="128">
        <v>2</v>
      </c>
    </row>
    <row r="74" spans="1:7">
      <c r="A74" s="5" t="s">
        <v>382</v>
      </c>
      <c r="B74" s="5">
        <v>31125</v>
      </c>
      <c r="C74" s="126"/>
      <c r="D74" s="127">
        <v>8</v>
      </c>
      <c r="E74" s="127">
        <v>1</v>
      </c>
      <c r="F74" s="128">
        <v>2</v>
      </c>
      <c r="G74" s="128">
        <v>2</v>
      </c>
    </row>
    <row r="75" spans="1:7">
      <c r="A75" s="5" t="s">
        <v>382</v>
      </c>
      <c r="B75" s="5">
        <v>31126</v>
      </c>
      <c r="C75" s="126"/>
      <c r="D75" s="127">
        <v>8</v>
      </c>
      <c r="E75" s="127">
        <v>1</v>
      </c>
      <c r="F75" s="128">
        <v>2</v>
      </c>
      <c r="G75" s="128">
        <v>2</v>
      </c>
    </row>
    <row r="76" spans="1:7">
      <c r="A76" s="5" t="s">
        <v>382</v>
      </c>
      <c r="B76" s="5">
        <v>31127</v>
      </c>
      <c r="C76" s="126"/>
      <c r="D76" s="127">
        <v>8</v>
      </c>
      <c r="E76" s="127">
        <v>1</v>
      </c>
      <c r="F76" s="128">
        <v>2</v>
      </c>
      <c r="G76" s="128">
        <v>2</v>
      </c>
    </row>
    <row r="77" spans="1:7">
      <c r="A77" s="5" t="s">
        <v>382</v>
      </c>
      <c r="B77" s="5">
        <v>31129</v>
      </c>
      <c r="C77" s="126"/>
      <c r="D77" s="127">
        <v>8</v>
      </c>
      <c r="E77" s="127">
        <v>1</v>
      </c>
      <c r="F77" s="128">
        <v>2</v>
      </c>
      <c r="G77" s="128">
        <v>2</v>
      </c>
    </row>
    <row r="78" spans="1:7">
      <c r="A78" s="5" t="s">
        <v>382</v>
      </c>
      <c r="B78" s="5">
        <v>31130</v>
      </c>
      <c r="C78" s="126"/>
      <c r="D78" s="127">
        <v>8</v>
      </c>
      <c r="E78" s="127">
        <v>1</v>
      </c>
      <c r="F78" s="128">
        <v>2</v>
      </c>
      <c r="G78" s="128">
        <v>2</v>
      </c>
    </row>
    <row r="79" spans="1:7">
      <c r="A79" s="5"/>
      <c r="B79" s="5"/>
      <c r="C79" s="111"/>
      <c r="D79" s="113"/>
    </row>
    <row r="80" spans="1:7">
      <c r="A80" s="5"/>
      <c r="B80" s="5"/>
      <c r="C80" s="111"/>
      <c r="D80" s="113"/>
    </row>
    <row r="81" spans="1:4">
      <c r="A81" s="5"/>
      <c r="B81" s="5"/>
      <c r="C81" s="111"/>
      <c r="D81" s="113"/>
    </row>
    <row r="82" spans="1:4">
      <c r="A82" s="5"/>
      <c r="B82" s="5"/>
      <c r="C82" s="111"/>
      <c r="D82" s="113"/>
    </row>
    <row r="83" spans="1:4">
      <c r="A83" s="5"/>
      <c r="B83" s="5"/>
      <c r="C83" s="111"/>
      <c r="D83" s="113"/>
    </row>
    <row r="84" spans="1:4">
      <c r="A84" s="5"/>
      <c r="B84" s="5"/>
      <c r="C84" s="111"/>
      <c r="D84" s="113"/>
    </row>
    <row r="85" spans="1:4">
      <c r="A85" s="5"/>
      <c r="B85" s="5"/>
      <c r="C85" s="111"/>
      <c r="D85" s="113"/>
    </row>
    <row r="86" spans="1:4">
      <c r="A86" s="5"/>
      <c r="B86" s="5"/>
      <c r="C86" s="111"/>
      <c r="D86" s="113"/>
    </row>
    <row r="87" spans="1:4">
      <c r="A87" s="5"/>
      <c r="B87" s="5"/>
      <c r="C87" s="111"/>
      <c r="D87" s="113"/>
    </row>
    <row r="88" spans="1:4">
      <c r="A88" s="5"/>
      <c r="B88" s="5"/>
      <c r="C88" s="111"/>
      <c r="D88" s="113"/>
    </row>
    <row r="89" spans="1:4">
      <c r="A89" s="5"/>
      <c r="B89" s="5"/>
      <c r="C89" s="111"/>
      <c r="D89" s="113"/>
    </row>
    <row r="90" spans="1:4">
      <c r="A90" s="5"/>
      <c r="B90" s="5"/>
      <c r="C90" s="111"/>
      <c r="D90" s="113"/>
    </row>
    <row r="91" spans="1:4">
      <c r="A91" s="5"/>
      <c r="B91" s="5"/>
      <c r="C91" s="111"/>
      <c r="D91" s="113"/>
    </row>
    <row r="92" spans="1:4">
      <c r="A92" s="5"/>
      <c r="B92" s="5"/>
      <c r="C92" s="111"/>
      <c r="D92" s="113"/>
    </row>
    <row r="93" spans="1:4">
      <c r="A93" s="5"/>
      <c r="B93" s="5"/>
      <c r="C93" s="111"/>
      <c r="D93" s="113"/>
    </row>
    <row r="94" spans="1:4">
      <c r="A94" s="5"/>
      <c r="B94" s="5"/>
      <c r="C94" s="111"/>
      <c r="D94" s="113"/>
    </row>
    <row r="95" spans="1:4">
      <c r="A95" s="5"/>
      <c r="B95" s="5"/>
      <c r="C95" s="111"/>
      <c r="D95" s="113"/>
    </row>
    <row r="96" spans="1:4">
      <c r="A96" s="5"/>
      <c r="B96" s="5"/>
      <c r="C96" s="111"/>
      <c r="D96" s="113"/>
    </row>
    <row r="97" spans="1:4">
      <c r="A97" s="5"/>
      <c r="B97" s="5"/>
      <c r="C97" s="111"/>
      <c r="D97" s="113"/>
    </row>
    <row r="98" spans="1:4">
      <c r="A98" s="5"/>
      <c r="B98" s="5"/>
      <c r="C98" s="111"/>
      <c r="D98" s="113"/>
    </row>
    <row r="99" spans="1:4">
      <c r="A99" s="5"/>
      <c r="B99" s="5"/>
      <c r="C99" s="111"/>
      <c r="D99" s="113"/>
    </row>
    <row r="100" spans="1:4">
      <c r="A100" s="5"/>
      <c r="B100" s="5"/>
      <c r="C100" s="111"/>
      <c r="D100" s="113"/>
    </row>
    <row r="101" spans="1:4">
      <c r="A101" s="5"/>
      <c r="B101" s="5"/>
      <c r="C101" s="111"/>
      <c r="D101" s="113"/>
    </row>
    <row r="102" spans="1:4">
      <c r="A102" s="5"/>
      <c r="B102" s="5"/>
      <c r="C102" s="111"/>
      <c r="D102" s="113"/>
    </row>
    <row r="103" spans="1:4">
      <c r="A103" s="5"/>
      <c r="B103" s="5"/>
      <c r="C103" s="111"/>
      <c r="D103" s="113"/>
    </row>
    <row r="104" spans="1:4">
      <c r="A104" s="5"/>
      <c r="B104" s="5"/>
      <c r="C104" s="111"/>
      <c r="D104" s="113"/>
    </row>
    <row r="105" spans="1:4">
      <c r="A105" s="5"/>
      <c r="B105" s="5"/>
      <c r="C105" s="111"/>
      <c r="D105" s="113"/>
    </row>
    <row r="106" spans="1:4">
      <c r="A106" s="5"/>
      <c r="B106" s="5"/>
      <c r="C106" s="111"/>
      <c r="D106" s="113"/>
    </row>
    <row r="107" spans="1:4">
      <c r="A107" s="5"/>
      <c r="B107" s="5"/>
      <c r="C107" s="111"/>
      <c r="D107" s="113"/>
    </row>
    <row r="108" spans="1:4">
      <c r="A108" s="5"/>
      <c r="B108" s="5"/>
      <c r="C108" s="111"/>
      <c r="D108" s="113"/>
    </row>
    <row r="109" spans="1:4">
      <c r="A109" s="5"/>
      <c r="B109" s="5"/>
      <c r="C109" s="111"/>
      <c r="D109" s="113"/>
    </row>
    <row r="110" spans="1:4">
      <c r="A110" s="5"/>
      <c r="B110" s="5"/>
      <c r="C110" s="111"/>
      <c r="D110" s="113"/>
    </row>
    <row r="111" spans="1:4">
      <c r="A111" s="5"/>
      <c r="B111" s="5"/>
      <c r="C111" s="111"/>
      <c r="D111" s="113"/>
    </row>
    <row r="112" spans="1:4">
      <c r="A112" s="5"/>
      <c r="B112" s="5"/>
      <c r="C112" s="111"/>
      <c r="D112" s="113"/>
    </row>
    <row r="113" spans="1:4">
      <c r="A113" s="5"/>
      <c r="B113" s="5"/>
      <c r="C113" s="111"/>
      <c r="D113" s="113"/>
    </row>
    <row r="114" spans="1:4">
      <c r="A114" s="5"/>
      <c r="B114" s="5"/>
      <c r="C114" s="111"/>
      <c r="D114" s="113"/>
    </row>
    <row r="115" spans="1:4">
      <c r="A115" s="5"/>
      <c r="B115" s="5"/>
      <c r="C115" s="111"/>
      <c r="D115" s="113"/>
    </row>
    <row r="116" spans="1:4">
      <c r="A116" s="5"/>
      <c r="B116" s="5"/>
      <c r="C116" s="111"/>
      <c r="D116" s="113"/>
    </row>
    <row r="117" spans="1:4">
      <c r="A117" s="5"/>
      <c r="B117" s="5"/>
      <c r="C117" s="111"/>
      <c r="D117" s="113"/>
    </row>
    <row r="118" spans="1:4">
      <c r="A118" s="5"/>
      <c r="B118" s="5"/>
      <c r="C118" s="111"/>
      <c r="D118" s="113"/>
    </row>
    <row r="119" spans="1:4">
      <c r="A119" s="5"/>
      <c r="B119" s="5"/>
      <c r="C119" s="111"/>
      <c r="D119" s="1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17"/>
  <sheetViews>
    <sheetView workbookViewId="0">
      <selection activeCell="C1" sqref="C1"/>
    </sheetView>
  </sheetViews>
  <sheetFormatPr defaultColWidth="8.85546875" defaultRowHeight="12.75"/>
  <cols>
    <col min="1" max="1" width="15.42578125" bestFit="1" customWidth="1"/>
    <col min="2" max="2" width="19.7109375" bestFit="1" customWidth="1"/>
    <col min="3" max="3" width="18" customWidth="1"/>
    <col min="4" max="4" width="17.5703125" customWidth="1"/>
    <col min="5" max="5" width="18.28515625" customWidth="1"/>
    <col min="6" max="6" width="19.42578125" customWidth="1"/>
  </cols>
  <sheetData>
    <row r="1" spans="1:6" ht="64.5" customHeight="1">
      <c r="A1" s="115" t="s">
        <v>361</v>
      </c>
      <c r="B1" s="115" t="s">
        <v>362</v>
      </c>
      <c r="C1" s="119" t="s">
        <v>399</v>
      </c>
      <c r="D1" s="119" t="s">
        <v>395</v>
      </c>
      <c r="E1" s="119" t="s">
        <v>397</v>
      </c>
      <c r="F1" s="119" t="s">
        <v>394</v>
      </c>
    </row>
    <row r="2" spans="1:6">
      <c r="A2" s="116" t="s">
        <v>382</v>
      </c>
      <c r="B2" s="116">
        <v>31391</v>
      </c>
      <c r="C2" s="116">
        <v>8</v>
      </c>
      <c r="D2" s="117">
        <v>1</v>
      </c>
      <c r="E2" s="125">
        <v>2</v>
      </c>
      <c r="F2" s="125">
        <v>2</v>
      </c>
    </row>
    <row r="3" spans="1:6">
      <c r="A3" s="116" t="s">
        <v>382</v>
      </c>
      <c r="B3" s="116">
        <v>31392</v>
      </c>
      <c r="C3" s="116">
        <v>8</v>
      </c>
      <c r="D3" s="117">
        <v>1</v>
      </c>
      <c r="E3" s="125">
        <v>2</v>
      </c>
      <c r="F3" s="125">
        <v>2</v>
      </c>
    </row>
    <row r="4" spans="1:6">
      <c r="A4" s="116" t="s">
        <v>382</v>
      </c>
      <c r="B4" s="116">
        <v>31393</v>
      </c>
      <c r="C4" s="116">
        <v>8</v>
      </c>
      <c r="D4" s="117">
        <v>1</v>
      </c>
      <c r="E4" s="125">
        <v>2</v>
      </c>
      <c r="F4" s="125">
        <v>2</v>
      </c>
    </row>
    <row r="5" spans="1:6">
      <c r="A5" s="116" t="s">
        <v>382</v>
      </c>
      <c r="B5" s="116">
        <v>31394</v>
      </c>
      <c r="C5" s="116">
        <v>8</v>
      </c>
      <c r="D5" s="117">
        <v>1</v>
      </c>
      <c r="E5" s="125">
        <v>2</v>
      </c>
      <c r="F5" s="125">
        <v>2</v>
      </c>
    </row>
    <row r="6" spans="1:6">
      <c r="A6" s="116" t="s">
        <v>382</v>
      </c>
      <c r="B6" s="116">
        <v>31395</v>
      </c>
      <c r="C6" s="116">
        <v>8</v>
      </c>
      <c r="D6" s="117">
        <v>1</v>
      </c>
      <c r="E6" s="125">
        <v>2</v>
      </c>
      <c r="F6" s="125">
        <v>2</v>
      </c>
    </row>
    <row r="7" spans="1:6">
      <c r="A7" s="116" t="s">
        <v>382</v>
      </c>
      <c r="B7" s="116">
        <v>31396</v>
      </c>
      <c r="C7" s="116">
        <v>8</v>
      </c>
      <c r="D7" s="117">
        <v>1</v>
      </c>
      <c r="E7" s="125">
        <v>2</v>
      </c>
      <c r="F7" s="125">
        <v>2</v>
      </c>
    </row>
    <row r="8" spans="1:6">
      <c r="A8" s="116" t="s">
        <v>382</v>
      </c>
      <c r="B8" s="116">
        <v>31397</v>
      </c>
      <c r="C8" s="116">
        <v>8</v>
      </c>
      <c r="D8" s="117">
        <v>1</v>
      </c>
      <c r="E8" s="125">
        <v>2</v>
      </c>
      <c r="F8" s="125">
        <v>2</v>
      </c>
    </row>
    <row r="9" spans="1:6">
      <c r="A9" s="116" t="s">
        <v>382</v>
      </c>
      <c r="B9" s="116">
        <v>31398</v>
      </c>
      <c r="C9" s="116">
        <v>8</v>
      </c>
      <c r="D9" s="117">
        <v>1</v>
      </c>
      <c r="E9" s="125">
        <v>2</v>
      </c>
      <c r="F9" s="125">
        <v>2</v>
      </c>
    </row>
    <row r="10" spans="1:6">
      <c r="A10" s="116" t="s">
        <v>382</v>
      </c>
      <c r="B10" s="116">
        <v>31399</v>
      </c>
      <c r="C10" s="116">
        <v>8</v>
      </c>
      <c r="D10" s="117">
        <v>1</v>
      </c>
      <c r="E10" s="125">
        <v>2</v>
      </c>
      <c r="F10" s="125">
        <v>2</v>
      </c>
    </row>
    <row r="11" spans="1:6">
      <c r="A11" s="116" t="s">
        <v>382</v>
      </c>
      <c r="B11" s="116">
        <v>31400</v>
      </c>
      <c r="C11" s="116">
        <v>8</v>
      </c>
      <c r="D11" s="117">
        <v>1</v>
      </c>
      <c r="E11" s="125">
        <v>2</v>
      </c>
      <c r="F11" s="125">
        <v>2</v>
      </c>
    </row>
    <row r="12" spans="1:6">
      <c r="A12" s="116" t="s">
        <v>382</v>
      </c>
      <c r="B12" s="116">
        <v>31401</v>
      </c>
      <c r="C12" s="116">
        <v>8</v>
      </c>
      <c r="D12" s="117">
        <v>1</v>
      </c>
      <c r="E12" s="125">
        <v>2</v>
      </c>
      <c r="F12" s="125">
        <v>2</v>
      </c>
    </row>
    <row r="13" spans="1:6">
      <c r="A13" s="116" t="s">
        <v>382</v>
      </c>
      <c r="B13" s="116">
        <v>31402</v>
      </c>
      <c r="C13" s="116">
        <v>8</v>
      </c>
      <c r="D13" s="117">
        <v>1</v>
      </c>
      <c r="E13" s="125">
        <v>2</v>
      </c>
      <c r="F13" s="125">
        <v>2</v>
      </c>
    </row>
    <row r="14" spans="1:6">
      <c r="A14" s="116" t="s">
        <v>382</v>
      </c>
      <c r="B14" s="116">
        <v>31403</v>
      </c>
      <c r="C14" s="116">
        <v>8</v>
      </c>
      <c r="D14" s="117">
        <v>1</v>
      </c>
      <c r="E14" s="125">
        <v>2</v>
      </c>
      <c r="F14" s="125">
        <v>2</v>
      </c>
    </row>
    <row r="15" spans="1:6">
      <c r="A15" s="116" t="s">
        <v>382</v>
      </c>
      <c r="B15" s="116">
        <v>31404</v>
      </c>
      <c r="C15" s="116">
        <v>8</v>
      </c>
      <c r="D15" s="117">
        <v>1</v>
      </c>
      <c r="E15" s="125">
        <v>2</v>
      </c>
      <c r="F15" s="125">
        <v>2</v>
      </c>
    </row>
    <row r="16" spans="1:6">
      <c r="A16" s="116" t="s">
        <v>382</v>
      </c>
      <c r="B16" s="116">
        <v>31405</v>
      </c>
      <c r="C16" s="116">
        <v>8</v>
      </c>
      <c r="D16" s="117">
        <v>1</v>
      </c>
      <c r="E16" s="125">
        <v>2</v>
      </c>
      <c r="F16" s="125">
        <v>2</v>
      </c>
    </row>
    <row r="17" spans="1:6">
      <c r="A17" s="116" t="s">
        <v>382</v>
      </c>
      <c r="B17" s="116">
        <v>31406</v>
      </c>
      <c r="C17" s="116">
        <v>8</v>
      </c>
      <c r="D17" s="117">
        <v>1</v>
      </c>
      <c r="E17" s="125">
        <v>2</v>
      </c>
      <c r="F17" s="125">
        <v>2</v>
      </c>
    </row>
    <row r="18" spans="1:6">
      <c r="A18" s="116" t="s">
        <v>382</v>
      </c>
      <c r="B18" s="116">
        <v>31407</v>
      </c>
      <c r="C18" s="116">
        <v>8</v>
      </c>
      <c r="D18" s="117">
        <v>1</v>
      </c>
      <c r="E18" s="125">
        <v>2</v>
      </c>
      <c r="F18" s="125">
        <v>2</v>
      </c>
    </row>
    <row r="19" spans="1:6">
      <c r="A19" s="116" t="s">
        <v>382</v>
      </c>
      <c r="B19" s="116">
        <v>31408</v>
      </c>
      <c r="C19" s="116">
        <v>8</v>
      </c>
      <c r="D19" s="117">
        <v>1</v>
      </c>
      <c r="E19" s="125">
        <v>2</v>
      </c>
      <c r="F19" s="125">
        <v>2</v>
      </c>
    </row>
    <row r="20" spans="1:6">
      <c r="A20" s="116" t="s">
        <v>382</v>
      </c>
      <c r="B20" s="116">
        <v>31409</v>
      </c>
      <c r="C20" s="116">
        <v>8</v>
      </c>
      <c r="D20" s="117">
        <v>1</v>
      </c>
      <c r="E20" s="125">
        <v>2</v>
      </c>
      <c r="F20" s="125">
        <v>2</v>
      </c>
    </row>
    <row r="21" spans="1:6">
      <c r="A21" s="116" t="s">
        <v>382</v>
      </c>
      <c r="B21" s="116">
        <v>31410</v>
      </c>
      <c r="C21" s="116">
        <v>8</v>
      </c>
      <c r="D21" s="117">
        <v>1</v>
      </c>
      <c r="E21" s="125">
        <v>2</v>
      </c>
      <c r="F21" s="125">
        <v>2</v>
      </c>
    </row>
    <row r="22" spans="1:6">
      <c r="A22" s="116" t="s">
        <v>382</v>
      </c>
      <c r="B22" s="116">
        <v>31411</v>
      </c>
      <c r="C22" s="116">
        <v>8</v>
      </c>
      <c r="D22" s="117">
        <v>1</v>
      </c>
      <c r="E22" s="125">
        <v>2</v>
      </c>
      <c r="F22" s="125">
        <v>2</v>
      </c>
    </row>
    <row r="23" spans="1:6">
      <c r="A23" s="116" t="s">
        <v>382</v>
      </c>
      <c r="B23" s="116">
        <v>31412</v>
      </c>
      <c r="C23" s="116">
        <v>8</v>
      </c>
      <c r="D23" s="117">
        <v>1</v>
      </c>
      <c r="E23" s="125">
        <v>2</v>
      </c>
      <c r="F23" s="125">
        <v>2</v>
      </c>
    </row>
    <row r="24" spans="1:6">
      <c r="A24" s="116" t="s">
        <v>382</v>
      </c>
      <c r="B24" s="116">
        <v>31413</v>
      </c>
      <c r="C24" s="116">
        <v>8</v>
      </c>
      <c r="D24" s="117">
        <v>1</v>
      </c>
      <c r="E24" s="125">
        <v>2</v>
      </c>
      <c r="F24" s="125">
        <v>2</v>
      </c>
    </row>
    <row r="25" spans="1:6">
      <c r="A25" s="116" t="s">
        <v>382</v>
      </c>
      <c r="B25" s="116">
        <v>31414</v>
      </c>
      <c r="C25" s="116">
        <v>8</v>
      </c>
      <c r="D25" s="117">
        <v>1</v>
      </c>
      <c r="E25" s="125">
        <v>2</v>
      </c>
      <c r="F25" s="125">
        <v>2</v>
      </c>
    </row>
    <row r="26" spans="1:6">
      <c r="A26" s="116" t="s">
        <v>382</v>
      </c>
      <c r="B26" s="116">
        <v>31415</v>
      </c>
      <c r="C26" s="116">
        <v>8</v>
      </c>
      <c r="D26" s="117">
        <v>1</v>
      </c>
      <c r="E26" s="125">
        <v>2</v>
      </c>
      <c r="F26" s="125">
        <v>2</v>
      </c>
    </row>
    <row r="27" spans="1:6">
      <c r="A27" s="116" t="s">
        <v>382</v>
      </c>
      <c r="B27" s="116">
        <v>31416</v>
      </c>
      <c r="C27" s="116">
        <v>8</v>
      </c>
      <c r="D27" s="117">
        <v>1</v>
      </c>
      <c r="E27" s="125">
        <v>2</v>
      </c>
      <c r="F27" s="125">
        <v>2</v>
      </c>
    </row>
    <row r="28" spans="1:6">
      <c r="A28" s="116" t="s">
        <v>382</v>
      </c>
      <c r="B28" s="116">
        <v>31417</v>
      </c>
      <c r="C28" s="116">
        <v>8</v>
      </c>
      <c r="D28" s="117">
        <v>1</v>
      </c>
      <c r="E28" s="125">
        <v>2</v>
      </c>
      <c r="F28" s="125">
        <v>2</v>
      </c>
    </row>
    <row r="29" spans="1:6">
      <c r="A29" s="116" t="s">
        <v>382</v>
      </c>
      <c r="B29" s="116">
        <v>31418</v>
      </c>
      <c r="C29" s="116">
        <v>8</v>
      </c>
      <c r="D29" s="117">
        <v>1</v>
      </c>
      <c r="E29" s="125">
        <v>2</v>
      </c>
      <c r="F29" s="125">
        <v>2</v>
      </c>
    </row>
    <row r="30" spans="1:6">
      <c r="A30" s="116" t="s">
        <v>382</v>
      </c>
      <c r="B30" s="116">
        <v>31419</v>
      </c>
      <c r="C30" s="116">
        <v>8</v>
      </c>
      <c r="D30" s="117">
        <v>1</v>
      </c>
      <c r="E30" s="125">
        <v>2</v>
      </c>
      <c r="F30" s="125">
        <v>2</v>
      </c>
    </row>
    <row r="31" spans="1:6">
      <c r="A31" s="116" t="s">
        <v>382</v>
      </c>
      <c r="B31" s="116">
        <v>31420</v>
      </c>
      <c r="C31" s="116">
        <v>8</v>
      </c>
      <c r="D31" s="117">
        <v>1</v>
      </c>
      <c r="E31" s="125">
        <v>2</v>
      </c>
      <c r="F31" s="125">
        <v>2</v>
      </c>
    </row>
    <row r="32" spans="1:6">
      <c r="A32" s="116" t="s">
        <v>382</v>
      </c>
      <c r="B32" s="116">
        <v>31421</v>
      </c>
      <c r="C32" s="116">
        <v>8</v>
      </c>
      <c r="D32" s="117">
        <v>1</v>
      </c>
      <c r="E32" s="125">
        <v>2</v>
      </c>
      <c r="F32" s="125">
        <v>2</v>
      </c>
    </row>
    <row r="33" spans="1:6">
      <c r="A33" s="116" t="s">
        <v>382</v>
      </c>
      <c r="B33" s="116">
        <v>31422</v>
      </c>
      <c r="C33" s="116">
        <v>8</v>
      </c>
      <c r="D33" s="117">
        <v>1</v>
      </c>
      <c r="E33" s="125">
        <v>2</v>
      </c>
      <c r="F33" s="125">
        <v>2</v>
      </c>
    </row>
    <row r="34" spans="1:6">
      <c r="A34" s="116" t="s">
        <v>382</v>
      </c>
      <c r="B34" s="116">
        <v>31423</v>
      </c>
      <c r="C34" s="116">
        <v>8</v>
      </c>
      <c r="D34" s="117">
        <v>1</v>
      </c>
      <c r="E34" s="125">
        <v>2</v>
      </c>
      <c r="F34" s="125">
        <v>2</v>
      </c>
    </row>
    <row r="35" spans="1:6">
      <c r="A35" s="116" t="s">
        <v>382</v>
      </c>
      <c r="B35" s="116">
        <v>31424</v>
      </c>
      <c r="C35" s="116">
        <v>8</v>
      </c>
      <c r="D35" s="117">
        <v>1</v>
      </c>
      <c r="E35" s="125">
        <v>2</v>
      </c>
      <c r="F35" s="125">
        <v>2</v>
      </c>
    </row>
    <row r="36" spans="1:6">
      <c r="A36" s="116" t="s">
        <v>382</v>
      </c>
      <c r="B36" s="116">
        <v>31425</v>
      </c>
      <c r="C36" s="116">
        <v>8</v>
      </c>
      <c r="D36" s="117">
        <v>1</v>
      </c>
      <c r="E36" s="125">
        <v>2</v>
      </c>
      <c r="F36" s="125">
        <v>2</v>
      </c>
    </row>
    <row r="37" spans="1:6">
      <c r="A37" s="116" t="s">
        <v>382</v>
      </c>
      <c r="B37" s="116">
        <v>31426</v>
      </c>
      <c r="C37" s="116">
        <v>8</v>
      </c>
      <c r="D37" s="117">
        <v>1</v>
      </c>
      <c r="E37" s="125">
        <v>2</v>
      </c>
      <c r="F37" s="125">
        <v>2</v>
      </c>
    </row>
    <row r="38" spans="1:6">
      <c r="A38" s="116" t="s">
        <v>382</v>
      </c>
      <c r="B38" s="116">
        <v>31427</v>
      </c>
      <c r="C38" s="116">
        <v>8</v>
      </c>
      <c r="D38" s="117">
        <v>1</v>
      </c>
      <c r="E38" s="125">
        <v>2</v>
      </c>
      <c r="F38" s="125">
        <v>2</v>
      </c>
    </row>
    <row r="39" spans="1:6">
      <c r="A39" s="116" t="s">
        <v>382</v>
      </c>
      <c r="B39" s="116">
        <v>31428</v>
      </c>
      <c r="C39" s="116">
        <v>8</v>
      </c>
      <c r="D39" s="117">
        <v>1</v>
      </c>
      <c r="E39" s="125">
        <v>2</v>
      </c>
      <c r="F39" s="125">
        <v>2</v>
      </c>
    </row>
    <row r="40" spans="1:6">
      <c r="A40" s="116" t="s">
        <v>382</v>
      </c>
      <c r="B40" s="116">
        <v>31429</v>
      </c>
      <c r="C40" s="116">
        <v>8</v>
      </c>
      <c r="D40" s="117">
        <v>1</v>
      </c>
      <c r="E40" s="125">
        <v>2</v>
      </c>
      <c r="F40" s="125">
        <v>2</v>
      </c>
    </row>
    <row r="41" spans="1:6">
      <c r="A41" s="116" t="s">
        <v>382</v>
      </c>
      <c r="B41" s="116">
        <v>31430</v>
      </c>
      <c r="C41" s="116">
        <v>8</v>
      </c>
      <c r="D41" s="117">
        <v>1</v>
      </c>
      <c r="E41" s="125">
        <v>2</v>
      </c>
      <c r="F41" s="125">
        <v>2</v>
      </c>
    </row>
    <row r="42" spans="1:6">
      <c r="A42" s="116" t="s">
        <v>382</v>
      </c>
      <c r="B42" s="116">
        <v>31431</v>
      </c>
      <c r="C42" s="116">
        <v>8</v>
      </c>
      <c r="D42" s="117">
        <v>1</v>
      </c>
      <c r="E42" s="125">
        <v>2</v>
      </c>
      <c r="F42" s="125">
        <v>2</v>
      </c>
    </row>
    <row r="43" spans="1:6">
      <c r="A43" s="116" t="s">
        <v>382</v>
      </c>
      <c r="B43" s="116">
        <v>31432</v>
      </c>
      <c r="C43" s="116">
        <v>8</v>
      </c>
      <c r="D43" s="117">
        <v>1</v>
      </c>
      <c r="E43" s="125">
        <v>2</v>
      </c>
      <c r="F43" s="125">
        <v>2</v>
      </c>
    </row>
    <row r="44" spans="1:6">
      <c r="A44" s="116" t="s">
        <v>382</v>
      </c>
      <c r="B44" s="116">
        <v>31433</v>
      </c>
      <c r="C44" s="116">
        <v>8</v>
      </c>
      <c r="D44" s="117">
        <v>1</v>
      </c>
      <c r="E44" s="125">
        <v>2</v>
      </c>
      <c r="F44" s="125">
        <v>2</v>
      </c>
    </row>
    <row r="45" spans="1:6">
      <c r="A45" s="116" t="s">
        <v>382</v>
      </c>
      <c r="B45" s="116">
        <v>31434</v>
      </c>
      <c r="C45" s="116">
        <v>8</v>
      </c>
      <c r="D45" s="117">
        <v>1</v>
      </c>
      <c r="E45" s="125">
        <v>2</v>
      </c>
      <c r="F45" s="125">
        <v>2</v>
      </c>
    </row>
    <row r="46" spans="1:6">
      <c r="A46" s="116" t="s">
        <v>382</v>
      </c>
      <c r="B46" s="116">
        <v>31435</v>
      </c>
      <c r="C46" s="116">
        <v>8</v>
      </c>
      <c r="D46" s="117">
        <v>1</v>
      </c>
      <c r="E46" s="125">
        <v>2</v>
      </c>
      <c r="F46" s="125">
        <v>2</v>
      </c>
    </row>
    <row r="47" spans="1:6">
      <c r="A47" s="116" t="s">
        <v>382</v>
      </c>
      <c r="B47" s="116">
        <v>31436</v>
      </c>
      <c r="C47" s="116">
        <v>8</v>
      </c>
      <c r="D47" s="117">
        <v>1</v>
      </c>
      <c r="E47" s="125">
        <v>2</v>
      </c>
      <c r="F47" s="125">
        <v>2</v>
      </c>
    </row>
    <row r="48" spans="1:6">
      <c r="A48" s="116" t="s">
        <v>382</v>
      </c>
      <c r="B48" s="116">
        <v>31437</v>
      </c>
      <c r="C48" s="116">
        <v>8</v>
      </c>
      <c r="D48" s="117">
        <v>1</v>
      </c>
      <c r="E48" s="125">
        <v>2</v>
      </c>
      <c r="F48" s="125">
        <v>2</v>
      </c>
    </row>
    <row r="49" spans="1:6">
      <c r="A49" s="116" t="s">
        <v>382</v>
      </c>
      <c r="B49" s="116">
        <v>31438</v>
      </c>
      <c r="C49" s="116">
        <v>8</v>
      </c>
      <c r="D49" s="117">
        <v>1</v>
      </c>
      <c r="E49" s="125">
        <v>2</v>
      </c>
      <c r="F49" s="125">
        <v>2</v>
      </c>
    </row>
    <row r="50" spans="1:6">
      <c r="A50" s="116" t="s">
        <v>382</v>
      </c>
      <c r="B50" s="116">
        <v>31439</v>
      </c>
      <c r="C50" s="116">
        <v>8</v>
      </c>
      <c r="D50" s="117">
        <v>1</v>
      </c>
      <c r="E50" s="125">
        <v>2</v>
      </c>
      <c r="F50" s="125">
        <v>2</v>
      </c>
    </row>
    <row r="51" spans="1:6">
      <c r="A51" s="116" t="s">
        <v>382</v>
      </c>
      <c r="B51" s="116">
        <v>31440</v>
      </c>
      <c r="C51" s="116">
        <v>8</v>
      </c>
      <c r="D51" s="117">
        <v>1</v>
      </c>
      <c r="E51" s="125">
        <v>2</v>
      </c>
      <c r="F51" s="125">
        <v>2</v>
      </c>
    </row>
    <row r="52" spans="1:6">
      <c r="A52" s="116" t="s">
        <v>382</v>
      </c>
      <c r="B52" s="116">
        <v>31441</v>
      </c>
      <c r="C52" s="116">
        <v>8</v>
      </c>
      <c r="D52" s="117">
        <v>1</v>
      </c>
      <c r="E52" s="125">
        <v>2</v>
      </c>
      <c r="F52" s="125">
        <v>2</v>
      </c>
    </row>
    <row r="53" spans="1:6">
      <c r="A53" s="116" t="s">
        <v>382</v>
      </c>
      <c r="B53" s="116">
        <v>31442</v>
      </c>
      <c r="C53" s="116">
        <v>8</v>
      </c>
      <c r="D53" s="117">
        <v>1</v>
      </c>
      <c r="E53" s="125">
        <v>2</v>
      </c>
      <c r="F53" s="125">
        <v>2</v>
      </c>
    </row>
    <row r="54" spans="1:6">
      <c r="A54" s="116" t="s">
        <v>382</v>
      </c>
      <c r="B54" s="116">
        <v>31443</v>
      </c>
      <c r="C54" s="116">
        <v>8</v>
      </c>
      <c r="D54" s="117">
        <v>1</v>
      </c>
      <c r="E54" s="125">
        <v>2</v>
      </c>
      <c r="F54" s="125">
        <v>2</v>
      </c>
    </row>
    <row r="55" spans="1:6">
      <c r="A55" s="116" t="s">
        <v>382</v>
      </c>
      <c r="B55" s="116">
        <v>31444</v>
      </c>
      <c r="C55" s="116">
        <v>8</v>
      </c>
      <c r="D55" s="117">
        <v>1</v>
      </c>
      <c r="E55" s="125">
        <v>2</v>
      </c>
      <c r="F55" s="125">
        <v>2</v>
      </c>
    </row>
    <row r="56" spans="1:6">
      <c r="A56" s="116" t="s">
        <v>382</v>
      </c>
      <c r="B56" s="116">
        <v>31445</v>
      </c>
      <c r="C56" s="116">
        <v>8</v>
      </c>
      <c r="D56" s="117">
        <v>1</v>
      </c>
      <c r="E56" s="125">
        <v>2</v>
      </c>
      <c r="F56" s="125">
        <v>2</v>
      </c>
    </row>
    <row r="57" spans="1:6">
      <c r="A57" s="116" t="s">
        <v>382</v>
      </c>
      <c r="B57" s="116">
        <v>31446</v>
      </c>
      <c r="C57" s="116">
        <v>8</v>
      </c>
      <c r="D57" s="117">
        <v>1</v>
      </c>
      <c r="E57" s="125">
        <v>2</v>
      </c>
      <c r="F57" s="125">
        <v>2</v>
      </c>
    </row>
    <row r="58" spans="1:6">
      <c r="A58" s="116" t="s">
        <v>382</v>
      </c>
      <c r="B58" s="116">
        <v>31447</v>
      </c>
      <c r="C58" s="116">
        <v>8</v>
      </c>
      <c r="D58" s="117">
        <v>1</v>
      </c>
      <c r="E58" s="125">
        <v>2</v>
      </c>
      <c r="F58" s="125">
        <v>2</v>
      </c>
    </row>
    <row r="59" spans="1:6">
      <c r="A59" s="116" t="s">
        <v>382</v>
      </c>
      <c r="B59" s="116">
        <v>31448</v>
      </c>
      <c r="C59" s="116">
        <v>8</v>
      </c>
      <c r="D59" s="117">
        <v>1</v>
      </c>
      <c r="E59" s="125">
        <v>2</v>
      </c>
      <c r="F59" s="125">
        <v>2</v>
      </c>
    </row>
    <row r="60" spans="1:6">
      <c r="A60" s="116" t="s">
        <v>382</v>
      </c>
      <c r="B60" s="116">
        <v>31449</v>
      </c>
      <c r="C60" s="116">
        <v>8</v>
      </c>
      <c r="D60" s="117">
        <v>1</v>
      </c>
      <c r="E60" s="125">
        <v>2</v>
      </c>
      <c r="F60" s="125">
        <v>2</v>
      </c>
    </row>
    <row r="61" spans="1:6">
      <c r="A61" s="116" t="s">
        <v>382</v>
      </c>
      <c r="B61" s="116">
        <v>31450</v>
      </c>
      <c r="C61" s="116">
        <v>8</v>
      </c>
      <c r="D61" s="117">
        <v>1</v>
      </c>
      <c r="E61" s="125">
        <v>2</v>
      </c>
      <c r="F61" s="125">
        <v>2</v>
      </c>
    </row>
    <row r="62" spans="1:6">
      <c r="A62" s="116" t="s">
        <v>382</v>
      </c>
      <c r="B62" s="116">
        <v>31451</v>
      </c>
      <c r="C62" s="116">
        <v>8</v>
      </c>
      <c r="D62" s="117">
        <v>1</v>
      </c>
      <c r="E62" s="125">
        <v>2</v>
      </c>
      <c r="F62" s="125">
        <v>2</v>
      </c>
    </row>
    <row r="63" spans="1:6">
      <c r="A63" s="116" t="s">
        <v>382</v>
      </c>
      <c r="B63" s="116">
        <v>31452</v>
      </c>
      <c r="C63" s="116">
        <v>8</v>
      </c>
      <c r="D63" s="117">
        <v>1</v>
      </c>
      <c r="E63" s="125">
        <v>2</v>
      </c>
      <c r="F63" s="125">
        <v>2</v>
      </c>
    </row>
    <row r="64" spans="1:6">
      <c r="A64" s="116" t="s">
        <v>382</v>
      </c>
      <c r="B64" s="116">
        <v>31453</v>
      </c>
      <c r="C64" s="116">
        <v>8</v>
      </c>
      <c r="D64" s="117">
        <v>1</v>
      </c>
      <c r="E64" s="125">
        <v>2</v>
      </c>
      <c r="F64" s="125">
        <v>2</v>
      </c>
    </row>
    <row r="65" spans="1:6">
      <c r="A65" s="116" t="s">
        <v>382</v>
      </c>
      <c r="B65" s="116">
        <v>31454</v>
      </c>
      <c r="C65" s="116">
        <v>8</v>
      </c>
      <c r="D65" s="117">
        <v>1</v>
      </c>
      <c r="E65" s="125">
        <v>2</v>
      </c>
      <c r="F65" s="125">
        <v>2</v>
      </c>
    </row>
    <row r="66" spans="1:6">
      <c r="A66" s="116" t="s">
        <v>382</v>
      </c>
      <c r="B66" s="116">
        <v>31455</v>
      </c>
      <c r="C66" s="116">
        <v>8</v>
      </c>
      <c r="D66" s="117">
        <v>1</v>
      </c>
      <c r="E66" s="125">
        <v>2</v>
      </c>
      <c r="F66" s="125">
        <v>2</v>
      </c>
    </row>
    <row r="67" spans="1:6">
      <c r="A67" s="116" t="s">
        <v>382</v>
      </c>
      <c r="B67" s="116">
        <v>31456</v>
      </c>
      <c r="C67" s="116">
        <v>8</v>
      </c>
      <c r="D67" s="117">
        <v>1</v>
      </c>
      <c r="E67" s="125">
        <v>2</v>
      </c>
      <c r="F67" s="125">
        <v>2</v>
      </c>
    </row>
    <row r="68" spans="1:6">
      <c r="A68" s="116" t="s">
        <v>382</v>
      </c>
      <c r="B68" s="116">
        <v>31457</v>
      </c>
      <c r="C68" s="116">
        <v>8</v>
      </c>
      <c r="D68" s="117">
        <v>1</v>
      </c>
      <c r="E68" s="125">
        <v>2</v>
      </c>
      <c r="F68" s="125">
        <v>2</v>
      </c>
    </row>
    <row r="69" spans="1:6">
      <c r="A69" s="116" t="s">
        <v>382</v>
      </c>
      <c r="B69" s="116">
        <v>31458</v>
      </c>
      <c r="C69" s="116">
        <v>8</v>
      </c>
      <c r="D69" s="117">
        <v>1</v>
      </c>
      <c r="E69" s="125">
        <v>2</v>
      </c>
      <c r="F69" s="125">
        <v>2</v>
      </c>
    </row>
    <row r="70" spans="1:6">
      <c r="A70" s="116" t="s">
        <v>382</v>
      </c>
      <c r="B70" s="116">
        <v>31459</v>
      </c>
      <c r="C70" s="116">
        <v>8</v>
      </c>
      <c r="D70" s="117">
        <v>1</v>
      </c>
      <c r="E70" s="125">
        <v>2</v>
      </c>
      <c r="F70" s="125">
        <v>2</v>
      </c>
    </row>
    <row r="71" spans="1:6">
      <c r="A71" s="116" t="s">
        <v>382</v>
      </c>
      <c r="B71" s="116">
        <v>31460</v>
      </c>
      <c r="C71" s="116">
        <v>8</v>
      </c>
      <c r="D71" s="117">
        <v>1</v>
      </c>
      <c r="E71" s="125">
        <v>2</v>
      </c>
      <c r="F71" s="125">
        <v>2</v>
      </c>
    </row>
    <row r="72" spans="1:6">
      <c r="A72" s="116" t="s">
        <v>382</v>
      </c>
      <c r="B72" s="116">
        <v>31461</v>
      </c>
      <c r="C72" s="116">
        <v>8</v>
      </c>
      <c r="D72" s="117">
        <v>1</v>
      </c>
      <c r="E72" s="125">
        <v>2</v>
      </c>
      <c r="F72" s="125">
        <v>2</v>
      </c>
    </row>
    <row r="73" spans="1:6">
      <c r="A73" s="116" t="s">
        <v>382</v>
      </c>
      <c r="B73" s="116">
        <v>31462</v>
      </c>
      <c r="C73" s="116">
        <v>8</v>
      </c>
      <c r="D73" s="117">
        <v>1</v>
      </c>
      <c r="E73" s="125">
        <v>2</v>
      </c>
      <c r="F73" s="125">
        <v>2</v>
      </c>
    </row>
    <row r="74" spans="1:6">
      <c r="A74" s="116" t="s">
        <v>382</v>
      </c>
      <c r="B74" s="116">
        <v>31463</v>
      </c>
      <c r="C74" s="116">
        <v>8</v>
      </c>
      <c r="D74" s="117">
        <v>1</v>
      </c>
      <c r="E74" s="125">
        <v>2</v>
      </c>
      <c r="F74" s="125">
        <v>2</v>
      </c>
    </row>
    <row r="75" spans="1:6">
      <c r="A75" s="116" t="s">
        <v>382</v>
      </c>
      <c r="B75" s="116">
        <v>31464</v>
      </c>
      <c r="C75" s="116">
        <v>8</v>
      </c>
      <c r="D75" s="117">
        <v>1</v>
      </c>
      <c r="E75" s="125">
        <v>2</v>
      </c>
      <c r="F75" s="125">
        <v>2</v>
      </c>
    </row>
    <row r="76" spans="1:6">
      <c r="A76" s="116" t="s">
        <v>383</v>
      </c>
      <c r="B76" s="116">
        <v>30601</v>
      </c>
      <c r="C76" s="116">
        <v>4</v>
      </c>
      <c r="D76" s="117">
        <v>1</v>
      </c>
      <c r="E76" s="125">
        <v>2</v>
      </c>
      <c r="F76" s="125">
        <v>2</v>
      </c>
    </row>
    <row r="77" spans="1:6">
      <c r="A77" s="116" t="s">
        <v>383</v>
      </c>
      <c r="B77" s="116">
        <v>30602</v>
      </c>
      <c r="C77" s="116">
        <v>4</v>
      </c>
      <c r="D77" s="117">
        <v>1</v>
      </c>
      <c r="E77" s="125">
        <v>2</v>
      </c>
      <c r="F77" s="125">
        <v>2</v>
      </c>
    </row>
    <row r="78" spans="1:6">
      <c r="A78" s="116" t="s">
        <v>383</v>
      </c>
      <c r="B78" s="116">
        <v>30603</v>
      </c>
      <c r="C78" s="116">
        <v>4</v>
      </c>
      <c r="D78" s="117">
        <v>1</v>
      </c>
      <c r="E78" s="125">
        <v>2</v>
      </c>
      <c r="F78" s="125">
        <v>2</v>
      </c>
    </row>
    <row r="79" spans="1:6">
      <c r="A79" s="116" t="s">
        <v>383</v>
      </c>
      <c r="B79" s="116">
        <v>30604</v>
      </c>
      <c r="C79" s="116">
        <v>4</v>
      </c>
      <c r="D79" s="117">
        <v>1</v>
      </c>
      <c r="E79" s="125">
        <v>2</v>
      </c>
      <c r="F79" s="125">
        <v>2</v>
      </c>
    </row>
    <row r="80" spans="1:6">
      <c r="A80" s="116" t="s">
        <v>383</v>
      </c>
      <c r="B80" s="116">
        <v>30605</v>
      </c>
      <c r="C80" s="116">
        <v>4</v>
      </c>
      <c r="D80" s="117">
        <v>1</v>
      </c>
      <c r="E80" s="125">
        <v>2</v>
      </c>
      <c r="F80" s="125">
        <v>2</v>
      </c>
    </row>
    <row r="81" spans="1:6">
      <c r="A81" s="116" t="s">
        <v>383</v>
      </c>
      <c r="B81" s="116">
        <v>30606</v>
      </c>
      <c r="C81" s="116">
        <v>4</v>
      </c>
      <c r="D81" s="117">
        <v>1</v>
      </c>
      <c r="E81" s="125">
        <v>2</v>
      </c>
      <c r="F81" s="125">
        <v>2</v>
      </c>
    </row>
    <row r="82" spans="1:6">
      <c r="A82" s="116" t="s">
        <v>383</v>
      </c>
      <c r="B82" s="116">
        <v>30607</v>
      </c>
      <c r="C82" s="116">
        <v>4</v>
      </c>
      <c r="D82" s="117">
        <v>1</v>
      </c>
      <c r="E82" s="125">
        <v>2</v>
      </c>
      <c r="F82" s="125">
        <v>2</v>
      </c>
    </row>
    <row r="83" spans="1:6">
      <c r="A83" s="116" t="s">
        <v>383</v>
      </c>
      <c r="B83" s="116">
        <v>30608</v>
      </c>
      <c r="C83" s="116">
        <v>4</v>
      </c>
      <c r="D83" s="117">
        <v>1</v>
      </c>
      <c r="E83" s="125">
        <v>2</v>
      </c>
      <c r="F83" s="125">
        <v>2</v>
      </c>
    </row>
    <row r="84" spans="1:6">
      <c r="A84" s="116" t="s">
        <v>383</v>
      </c>
      <c r="B84" s="116">
        <v>30609</v>
      </c>
      <c r="C84" s="116">
        <v>4</v>
      </c>
      <c r="D84" s="117">
        <v>1</v>
      </c>
      <c r="E84" s="125">
        <v>2</v>
      </c>
      <c r="F84" s="125">
        <v>2</v>
      </c>
    </row>
    <row r="85" spans="1:6">
      <c r="A85" s="116" t="s">
        <v>383</v>
      </c>
      <c r="B85" s="116">
        <v>30610</v>
      </c>
      <c r="C85" s="116">
        <v>4</v>
      </c>
      <c r="D85" s="117">
        <v>1</v>
      </c>
      <c r="E85" s="125">
        <v>2</v>
      </c>
      <c r="F85" s="125">
        <v>2</v>
      </c>
    </row>
    <row r="86" spans="1:6">
      <c r="A86" s="116" t="s">
        <v>383</v>
      </c>
      <c r="B86" s="116">
        <v>30611</v>
      </c>
      <c r="C86" s="116">
        <v>4</v>
      </c>
      <c r="D86" s="117">
        <v>1</v>
      </c>
      <c r="E86" s="125">
        <v>2</v>
      </c>
      <c r="F86" s="125">
        <v>2</v>
      </c>
    </row>
    <row r="87" spans="1:6">
      <c r="A87" s="116" t="s">
        <v>383</v>
      </c>
      <c r="B87" s="116">
        <v>30612</v>
      </c>
      <c r="C87" s="116">
        <v>4</v>
      </c>
      <c r="D87" s="117">
        <v>1</v>
      </c>
      <c r="E87" s="125">
        <v>2</v>
      </c>
      <c r="F87" s="125">
        <v>2</v>
      </c>
    </row>
    <row r="88" spans="1:6">
      <c r="A88" s="116" t="s">
        <v>383</v>
      </c>
      <c r="B88" s="116">
        <v>30613</v>
      </c>
      <c r="C88" s="116">
        <v>4</v>
      </c>
      <c r="D88" s="117">
        <v>1</v>
      </c>
      <c r="E88" s="125">
        <v>2</v>
      </c>
      <c r="F88" s="125">
        <v>2</v>
      </c>
    </row>
    <row r="89" spans="1:6">
      <c r="A89" s="116" t="s">
        <v>383</v>
      </c>
      <c r="B89" s="116">
        <v>30614</v>
      </c>
      <c r="C89" s="116">
        <v>4</v>
      </c>
      <c r="D89" s="117">
        <v>1</v>
      </c>
      <c r="E89" s="125">
        <v>2</v>
      </c>
      <c r="F89" s="125">
        <v>2</v>
      </c>
    </row>
    <row r="90" spans="1:6">
      <c r="A90" s="116" t="s">
        <v>383</v>
      </c>
      <c r="B90" s="116">
        <v>30615</v>
      </c>
      <c r="C90" s="116">
        <v>4</v>
      </c>
      <c r="D90" s="117">
        <v>1</v>
      </c>
      <c r="E90" s="125">
        <v>2</v>
      </c>
      <c r="F90" s="125">
        <v>2</v>
      </c>
    </row>
    <row r="91" spans="1:6">
      <c r="A91" s="116" t="s">
        <v>383</v>
      </c>
      <c r="B91" s="116">
        <v>30616</v>
      </c>
      <c r="C91" s="116">
        <v>4</v>
      </c>
      <c r="D91" s="117">
        <v>1</v>
      </c>
      <c r="E91" s="125">
        <v>2</v>
      </c>
      <c r="F91" s="125">
        <v>2</v>
      </c>
    </row>
    <row r="92" spans="1:6">
      <c r="A92" s="116" t="s">
        <v>383</v>
      </c>
      <c r="B92" s="116">
        <v>30617</v>
      </c>
      <c r="C92" s="116">
        <v>4</v>
      </c>
      <c r="D92" s="117">
        <v>1</v>
      </c>
      <c r="E92" s="125">
        <v>2</v>
      </c>
      <c r="F92" s="125">
        <v>2</v>
      </c>
    </row>
    <row r="93" spans="1:6">
      <c r="A93" s="116" t="s">
        <v>383</v>
      </c>
      <c r="B93" s="116">
        <v>30618</v>
      </c>
      <c r="C93" s="116">
        <v>4</v>
      </c>
      <c r="D93" s="117">
        <v>1</v>
      </c>
      <c r="E93" s="125">
        <v>2</v>
      </c>
      <c r="F93" s="125">
        <v>2</v>
      </c>
    </row>
    <row r="94" spans="1:6">
      <c r="A94" s="116" t="s">
        <v>383</v>
      </c>
      <c r="B94" s="116">
        <v>30619</v>
      </c>
      <c r="C94" s="116">
        <v>4</v>
      </c>
      <c r="D94" s="117">
        <v>1</v>
      </c>
      <c r="E94" s="125">
        <v>2</v>
      </c>
      <c r="F94" s="125">
        <v>2</v>
      </c>
    </row>
    <row r="95" spans="1:6">
      <c r="A95" s="116" t="s">
        <v>383</v>
      </c>
      <c r="B95" s="116">
        <v>30620</v>
      </c>
      <c r="C95" s="116">
        <v>4</v>
      </c>
      <c r="D95" s="117">
        <v>1</v>
      </c>
      <c r="E95" s="125">
        <v>2</v>
      </c>
      <c r="F95" s="125">
        <v>2</v>
      </c>
    </row>
    <row r="96" spans="1:6">
      <c r="A96" s="116" t="s">
        <v>383</v>
      </c>
      <c r="B96" s="116">
        <v>30621</v>
      </c>
      <c r="C96" s="116">
        <v>4</v>
      </c>
      <c r="D96" s="117">
        <v>1</v>
      </c>
      <c r="E96" s="125">
        <v>2</v>
      </c>
      <c r="F96" s="125">
        <v>2</v>
      </c>
    </row>
    <row r="97" spans="1:6">
      <c r="A97" s="116" t="s">
        <v>383</v>
      </c>
      <c r="B97" s="116">
        <v>30622</v>
      </c>
      <c r="C97" s="116">
        <v>4</v>
      </c>
      <c r="D97" s="117">
        <v>1</v>
      </c>
      <c r="E97" s="125">
        <v>2</v>
      </c>
      <c r="F97" s="125">
        <v>2</v>
      </c>
    </row>
    <row r="98" spans="1:6">
      <c r="A98" s="116" t="s">
        <v>383</v>
      </c>
      <c r="B98" s="116">
        <v>30623</v>
      </c>
      <c r="C98" s="116">
        <v>4</v>
      </c>
      <c r="D98" s="117">
        <v>1</v>
      </c>
      <c r="E98" s="125">
        <v>2</v>
      </c>
      <c r="F98" s="125">
        <v>2</v>
      </c>
    </row>
    <row r="99" spans="1:6">
      <c r="A99" s="116" t="s">
        <v>383</v>
      </c>
      <c r="B99" s="116">
        <v>30624</v>
      </c>
      <c r="C99" s="116">
        <v>4</v>
      </c>
      <c r="D99" s="117">
        <v>1</v>
      </c>
      <c r="E99" s="125">
        <v>2</v>
      </c>
      <c r="F99" s="125">
        <v>2</v>
      </c>
    </row>
    <row r="100" spans="1:6">
      <c r="A100" s="116" t="s">
        <v>383</v>
      </c>
      <c r="B100" s="116">
        <v>30625</v>
      </c>
      <c r="C100" s="116">
        <v>4</v>
      </c>
      <c r="D100" s="117">
        <v>1</v>
      </c>
      <c r="E100" s="125">
        <v>2</v>
      </c>
      <c r="F100" s="125">
        <v>2</v>
      </c>
    </row>
    <row r="101" spans="1:6">
      <c r="A101" s="116" t="s">
        <v>383</v>
      </c>
      <c r="B101" s="116">
        <v>30626</v>
      </c>
      <c r="C101" s="116">
        <v>4</v>
      </c>
      <c r="D101" s="117">
        <v>1</v>
      </c>
      <c r="E101" s="125">
        <v>2</v>
      </c>
      <c r="F101" s="125">
        <v>2</v>
      </c>
    </row>
    <row r="102" spans="1:6">
      <c r="A102" s="116" t="s">
        <v>383</v>
      </c>
      <c r="B102" s="116">
        <v>30627</v>
      </c>
      <c r="C102" s="116">
        <v>4</v>
      </c>
      <c r="D102" s="117">
        <v>1</v>
      </c>
      <c r="E102" s="125">
        <v>2</v>
      </c>
      <c r="F102" s="125">
        <v>2</v>
      </c>
    </row>
    <row r="103" spans="1:6">
      <c r="A103" s="116" t="s">
        <v>383</v>
      </c>
      <c r="B103" s="116">
        <v>30628</v>
      </c>
      <c r="C103" s="116">
        <v>4</v>
      </c>
      <c r="D103" s="117">
        <v>1</v>
      </c>
      <c r="E103" s="125">
        <v>2</v>
      </c>
      <c r="F103" s="125">
        <v>2</v>
      </c>
    </row>
    <row r="104" spans="1:6">
      <c r="A104" s="116" t="s">
        <v>383</v>
      </c>
      <c r="B104" s="116">
        <v>30629</v>
      </c>
      <c r="C104" s="116">
        <v>4</v>
      </c>
      <c r="D104" s="117">
        <v>1</v>
      </c>
      <c r="E104" s="125">
        <v>2</v>
      </c>
      <c r="F104" s="125">
        <v>2</v>
      </c>
    </row>
    <row r="105" spans="1:6">
      <c r="A105" s="116" t="s">
        <v>383</v>
      </c>
      <c r="B105" s="116">
        <v>30630</v>
      </c>
      <c r="C105" s="116">
        <v>4</v>
      </c>
      <c r="D105" s="117">
        <v>1</v>
      </c>
      <c r="E105" s="125">
        <v>2</v>
      </c>
      <c r="F105" s="125">
        <v>2</v>
      </c>
    </row>
    <row r="106" spans="1:6">
      <c r="A106" s="116" t="s">
        <v>383</v>
      </c>
      <c r="B106" s="116">
        <v>30631</v>
      </c>
      <c r="C106" s="116">
        <v>4</v>
      </c>
      <c r="D106" s="117">
        <v>1</v>
      </c>
      <c r="E106" s="125">
        <v>2</v>
      </c>
      <c r="F106" s="125">
        <v>2</v>
      </c>
    </row>
    <row r="107" spans="1:6">
      <c r="A107" s="116" t="s">
        <v>383</v>
      </c>
      <c r="B107" s="116">
        <v>30632</v>
      </c>
      <c r="C107" s="116">
        <v>4</v>
      </c>
      <c r="D107" s="117">
        <v>1</v>
      </c>
      <c r="E107" s="125">
        <v>2</v>
      </c>
      <c r="F107" s="125">
        <v>2</v>
      </c>
    </row>
    <row r="108" spans="1:6">
      <c r="A108" s="116" t="s">
        <v>383</v>
      </c>
      <c r="B108" s="116">
        <v>30633</v>
      </c>
      <c r="C108" s="116">
        <v>4</v>
      </c>
      <c r="D108" s="117">
        <v>1</v>
      </c>
      <c r="E108" s="125">
        <v>2</v>
      </c>
      <c r="F108" s="125">
        <v>2</v>
      </c>
    </row>
    <row r="109" spans="1:6">
      <c r="A109" s="116" t="s">
        <v>383</v>
      </c>
      <c r="B109" s="116">
        <v>30634</v>
      </c>
      <c r="C109" s="116">
        <v>4</v>
      </c>
      <c r="D109" s="117">
        <v>1</v>
      </c>
      <c r="E109" s="125">
        <v>2</v>
      </c>
      <c r="F109" s="125">
        <v>2</v>
      </c>
    </row>
    <row r="110" spans="1:6">
      <c r="A110" s="116" t="s">
        <v>383</v>
      </c>
      <c r="B110" s="116">
        <v>30635</v>
      </c>
      <c r="C110" s="116">
        <v>4</v>
      </c>
      <c r="D110" s="117">
        <v>1</v>
      </c>
      <c r="E110" s="125">
        <v>2</v>
      </c>
      <c r="F110" s="125">
        <v>2</v>
      </c>
    </row>
    <row r="111" spans="1:6">
      <c r="A111" s="116" t="s">
        <v>383</v>
      </c>
      <c r="B111" s="116">
        <v>30636</v>
      </c>
      <c r="C111" s="116">
        <v>4</v>
      </c>
      <c r="D111" s="117">
        <v>1</v>
      </c>
      <c r="E111" s="125">
        <v>2</v>
      </c>
      <c r="F111" s="125">
        <v>2</v>
      </c>
    </row>
    <row r="112" spans="1:6">
      <c r="A112" s="116" t="s">
        <v>383</v>
      </c>
      <c r="B112" s="116">
        <v>30637</v>
      </c>
      <c r="C112" s="116">
        <v>4</v>
      </c>
      <c r="D112" s="117">
        <v>1</v>
      </c>
      <c r="E112" s="125">
        <v>2</v>
      </c>
      <c r="F112" s="125">
        <v>2</v>
      </c>
    </row>
    <row r="113" spans="1:6">
      <c r="A113" s="116" t="s">
        <v>383</v>
      </c>
      <c r="B113" s="116">
        <v>30638</v>
      </c>
      <c r="C113" s="116">
        <v>4</v>
      </c>
      <c r="D113" s="117">
        <v>1</v>
      </c>
      <c r="E113" s="125">
        <v>2</v>
      </c>
      <c r="F113" s="125">
        <v>2</v>
      </c>
    </row>
    <row r="114" spans="1:6">
      <c r="A114" s="116" t="s">
        <v>383</v>
      </c>
      <c r="B114" s="116">
        <v>30639</v>
      </c>
      <c r="C114" s="116">
        <v>4</v>
      </c>
      <c r="D114" s="117">
        <v>1</v>
      </c>
      <c r="E114" s="125">
        <v>2</v>
      </c>
      <c r="F114" s="125">
        <v>2</v>
      </c>
    </row>
    <row r="115" spans="1:6">
      <c r="A115" s="116" t="s">
        <v>383</v>
      </c>
      <c r="B115" s="116">
        <v>30640</v>
      </c>
      <c r="C115" s="116">
        <v>4</v>
      </c>
      <c r="D115" s="117">
        <v>1</v>
      </c>
      <c r="E115" s="125">
        <v>2</v>
      </c>
      <c r="F115" s="125">
        <v>2</v>
      </c>
    </row>
    <row r="116" spans="1:6">
      <c r="A116" s="116"/>
      <c r="B116" s="116"/>
      <c r="C116" s="116"/>
    </row>
    <row r="117" spans="1:6">
      <c r="A117" s="116"/>
      <c r="B117" s="116"/>
      <c r="C117" s="1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164"/>
  <sheetViews>
    <sheetView topLeftCell="A136" zoomScaleNormal="100" workbookViewId="0">
      <selection activeCell="C20" sqref="C20"/>
    </sheetView>
  </sheetViews>
  <sheetFormatPr defaultColWidth="8.85546875" defaultRowHeight="12.75"/>
  <cols>
    <col min="1" max="1" width="15.42578125" bestFit="1" customWidth="1"/>
    <col min="2" max="2" width="19.7109375" bestFit="1" customWidth="1"/>
    <col min="3" max="4" width="21.5703125" customWidth="1"/>
    <col min="5" max="6" width="19.85546875" customWidth="1"/>
    <col min="7" max="7" width="20.28515625" customWidth="1"/>
  </cols>
  <sheetData>
    <row r="1" spans="1:7" ht="72.75" customHeight="1">
      <c r="A1" s="122" t="s">
        <v>361</v>
      </c>
      <c r="B1" s="122" t="s">
        <v>362</v>
      </c>
      <c r="C1" s="119" t="s">
        <v>398</v>
      </c>
      <c r="D1" s="119" t="s">
        <v>399</v>
      </c>
      <c r="E1" s="119" t="s">
        <v>395</v>
      </c>
      <c r="F1" s="119" t="s">
        <v>397</v>
      </c>
      <c r="G1" s="119" t="s">
        <v>394</v>
      </c>
    </row>
    <row r="2" spans="1:7">
      <c r="A2" s="117" t="s">
        <v>382</v>
      </c>
      <c r="B2" s="124">
        <v>31002</v>
      </c>
      <c r="C2" s="121">
        <v>8</v>
      </c>
      <c r="D2" s="121"/>
      <c r="E2" s="117">
        <v>1</v>
      </c>
      <c r="F2" s="125">
        <v>2</v>
      </c>
      <c r="G2" s="125">
        <v>2</v>
      </c>
    </row>
    <row r="3" spans="1:7">
      <c r="A3" s="117" t="s">
        <v>382</v>
      </c>
      <c r="B3" s="124">
        <v>31004</v>
      </c>
      <c r="C3" s="121">
        <v>8</v>
      </c>
      <c r="D3" s="121"/>
      <c r="E3" s="117">
        <v>1</v>
      </c>
      <c r="F3" s="125">
        <v>2</v>
      </c>
      <c r="G3" s="125">
        <v>2</v>
      </c>
    </row>
    <row r="4" spans="1:7">
      <c r="A4" s="117" t="s">
        <v>382</v>
      </c>
      <c r="B4" s="124">
        <v>31005</v>
      </c>
      <c r="C4" s="121">
        <v>8</v>
      </c>
      <c r="D4" s="121"/>
      <c r="E4" s="117">
        <v>1</v>
      </c>
      <c r="F4" s="125">
        <v>2</v>
      </c>
      <c r="G4" s="125">
        <v>2</v>
      </c>
    </row>
    <row r="5" spans="1:7">
      <c r="A5" s="117" t="s">
        <v>382</v>
      </c>
      <c r="B5" s="124">
        <v>31006</v>
      </c>
      <c r="C5" s="121">
        <v>8</v>
      </c>
      <c r="D5" s="121"/>
      <c r="E5" s="117">
        <v>1</v>
      </c>
      <c r="F5" s="125">
        <v>2</v>
      </c>
      <c r="G5" s="125">
        <v>2</v>
      </c>
    </row>
    <row r="6" spans="1:7">
      <c r="A6" s="117" t="s">
        <v>382</v>
      </c>
      <c r="B6" s="124">
        <v>31008</v>
      </c>
      <c r="C6" s="121">
        <v>8</v>
      </c>
      <c r="D6" s="121"/>
      <c r="E6" s="117">
        <v>1</v>
      </c>
      <c r="F6" s="125">
        <v>2</v>
      </c>
      <c r="G6" s="125">
        <v>2</v>
      </c>
    </row>
    <row r="7" spans="1:7">
      <c r="A7" s="117" t="s">
        <v>382</v>
      </c>
      <c r="B7" s="124">
        <v>31009</v>
      </c>
      <c r="C7" s="121">
        <v>8</v>
      </c>
      <c r="D7" s="121"/>
      <c r="E7" s="117">
        <v>1</v>
      </c>
      <c r="F7" s="125">
        <v>2</v>
      </c>
      <c r="G7" s="125">
        <v>2</v>
      </c>
    </row>
    <row r="8" spans="1:7">
      <c r="A8" s="117" t="s">
        <v>382</v>
      </c>
      <c r="B8" s="124">
        <v>31010</v>
      </c>
      <c r="C8" s="121">
        <v>8</v>
      </c>
      <c r="D8" s="121"/>
      <c r="E8" s="117">
        <v>1</v>
      </c>
      <c r="F8" s="125">
        <v>2</v>
      </c>
      <c r="G8" s="125">
        <v>2</v>
      </c>
    </row>
    <row r="9" spans="1:7">
      <c r="A9" s="117" t="s">
        <v>382</v>
      </c>
      <c r="B9" s="124">
        <v>31014</v>
      </c>
      <c r="C9" s="121">
        <v>8</v>
      </c>
      <c r="D9" s="121"/>
      <c r="E9" s="117">
        <v>1</v>
      </c>
      <c r="F9" s="125">
        <v>2</v>
      </c>
      <c r="G9" s="125">
        <v>2</v>
      </c>
    </row>
    <row r="10" spans="1:7">
      <c r="A10" s="117" t="s">
        <v>382</v>
      </c>
      <c r="B10" s="124">
        <v>31016</v>
      </c>
      <c r="C10" s="121">
        <v>8</v>
      </c>
      <c r="D10" s="121"/>
      <c r="E10" s="117">
        <v>1</v>
      </c>
      <c r="F10" s="125">
        <v>2</v>
      </c>
      <c r="G10" s="125">
        <v>2</v>
      </c>
    </row>
    <row r="11" spans="1:7">
      <c r="A11" s="117" t="s">
        <v>382</v>
      </c>
      <c r="B11" s="124">
        <v>31017</v>
      </c>
      <c r="C11" s="121">
        <v>8</v>
      </c>
      <c r="D11" s="121"/>
      <c r="E11" s="117">
        <v>1</v>
      </c>
      <c r="F11" s="125">
        <v>2</v>
      </c>
      <c r="G11" s="125">
        <v>2</v>
      </c>
    </row>
    <row r="12" spans="1:7">
      <c r="A12" s="117" t="s">
        <v>382</v>
      </c>
      <c r="B12" s="124">
        <v>31018</v>
      </c>
      <c r="C12" s="121">
        <v>8</v>
      </c>
      <c r="D12" s="121"/>
      <c r="E12" s="117">
        <v>1</v>
      </c>
      <c r="F12" s="125">
        <v>2</v>
      </c>
      <c r="G12" s="125">
        <v>2</v>
      </c>
    </row>
    <row r="13" spans="1:7">
      <c r="A13" s="117" t="s">
        <v>382</v>
      </c>
      <c r="B13" s="124">
        <v>31019</v>
      </c>
      <c r="C13" s="121">
        <v>8</v>
      </c>
      <c r="D13" s="121"/>
      <c r="E13" s="117">
        <v>1</v>
      </c>
      <c r="F13" s="125">
        <v>2</v>
      </c>
      <c r="G13" s="125">
        <v>2</v>
      </c>
    </row>
    <row r="14" spans="1:7">
      <c r="A14" s="117" t="s">
        <v>382</v>
      </c>
      <c r="B14" s="124">
        <v>31020</v>
      </c>
      <c r="C14" s="121">
        <v>8</v>
      </c>
      <c r="D14" s="121"/>
      <c r="E14" s="117">
        <v>1</v>
      </c>
      <c r="F14" s="125">
        <v>2</v>
      </c>
      <c r="G14" s="125">
        <v>2</v>
      </c>
    </row>
    <row r="15" spans="1:7">
      <c r="A15" s="117" t="s">
        <v>382</v>
      </c>
      <c r="B15" s="124">
        <v>31022</v>
      </c>
      <c r="C15" s="121">
        <v>8</v>
      </c>
      <c r="D15" s="121"/>
      <c r="E15" s="117">
        <v>1</v>
      </c>
      <c r="F15" s="125">
        <v>2</v>
      </c>
      <c r="G15" s="125">
        <v>2</v>
      </c>
    </row>
    <row r="16" spans="1:7">
      <c r="A16" s="117" t="s">
        <v>382</v>
      </c>
      <c r="B16" s="124">
        <v>31023</v>
      </c>
      <c r="C16" s="121">
        <v>8</v>
      </c>
      <c r="D16" s="121"/>
      <c r="E16" s="117">
        <v>1</v>
      </c>
      <c r="F16" s="125">
        <v>2</v>
      </c>
      <c r="G16" s="125">
        <v>2</v>
      </c>
    </row>
    <row r="17" spans="1:7">
      <c r="A17" s="117" t="s">
        <v>382</v>
      </c>
      <c r="B17" s="124">
        <v>31024</v>
      </c>
      <c r="C17" s="121">
        <v>8</v>
      </c>
      <c r="D17" s="121"/>
      <c r="E17" s="117">
        <v>1</v>
      </c>
      <c r="F17" s="125">
        <v>2</v>
      </c>
      <c r="G17" s="125">
        <v>2</v>
      </c>
    </row>
    <row r="18" spans="1:7">
      <c r="A18" s="117" t="s">
        <v>382</v>
      </c>
      <c r="B18" s="124">
        <v>31025</v>
      </c>
      <c r="C18" s="121">
        <v>8</v>
      </c>
      <c r="D18" s="121"/>
      <c r="E18" s="117">
        <v>1</v>
      </c>
      <c r="F18" s="125">
        <v>2</v>
      </c>
      <c r="G18" s="125">
        <v>2</v>
      </c>
    </row>
    <row r="19" spans="1:7">
      <c r="A19" s="117" t="s">
        <v>382</v>
      </c>
      <c r="B19" s="124">
        <v>31028</v>
      </c>
      <c r="C19" s="121">
        <v>8</v>
      </c>
      <c r="D19" s="121"/>
      <c r="E19" s="117">
        <v>1</v>
      </c>
      <c r="F19" s="125">
        <v>2</v>
      </c>
      <c r="G19" s="125">
        <v>2</v>
      </c>
    </row>
    <row r="20" spans="1:7">
      <c r="A20" s="117" t="s">
        <v>382</v>
      </c>
      <c r="B20" s="124">
        <v>31029</v>
      </c>
      <c r="C20" s="121">
        <v>8</v>
      </c>
      <c r="D20" s="121"/>
      <c r="E20" s="117">
        <v>1</v>
      </c>
      <c r="F20" s="125">
        <v>2</v>
      </c>
      <c r="G20" s="125">
        <v>2</v>
      </c>
    </row>
    <row r="21" spans="1:7">
      <c r="A21" s="117" t="s">
        <v>382</v>
      </c>
      <c r="B21" s="124">
        <v>31042</v>
      </c>
      <c r="C21" s="121"/>
      <c r="D21" s="121">
        <v>8</v>
      </c>
      <c r="E21" s="117">
        <v>1</v>
      </c>
      <c r="F21" s="125">
        <v>2</v>
      </c>
      <c r="G21" s="125">
        <v>2</v>
      </c>
    </row>
    <row r="22" spans="1:7">
      <c r="A22" s="117" t="s">
        <v>382</v>
      </c>
      <c r="B22" s="124">
        <v>31050</v>
      </c>
      <c r="C22" s="121"/>
      <c r="D22" s="121">
        <v>8</v>
      </c>
      <c r="E22" s="117">
        <v>1</v>
      </c>
      <c r="F22" s="125">
        <v>2</v>
      </c>
      <c r="G22" s="125">
        <v>2</v>
      </c>
    </row>
    <row r="23" spans="1:7">
      <c r="A23" s="117" t="s">
        <v>382</v>
      </c>
      <c r="B23" s="124">
        <v>31061</v>
      </c>
      <c r="C23" s="121"/>
      <c r="D23" s="121">
        <v>8</v>
      </c>
      <c r="E23" s="117">
        <v>1</v>
      </c>
      <c r="F23" s="125">
        <v>2</v>
      </c>
      <c r="G23" s="125">
        <v>2</v>
      </c>
    </row>
    <row r="24" spans="1:7">
      <c r="A24" s="117" t="s">
        <v>382</v>
      </c>
      <c r="B24" s="124">
        <v>31085</v>
      </c>
      <c r="C24" s="121"/>
      <c r="D24" s="121">
        <v>8</v>
      </c>
      <c r="E24" s="117">
        <v>1</v>
      </c>
      <c r="F24" s="125">
        <v>2</v>
      </c>
      <c r="G24" s="125">
        <v>2</v>
      </c>
    </row>
    <row r="25" spans="1:7">
      <c r="A25" s="117" t="s">
        <v>382</v>
      </c>
      <c r="B25" s="124">
        <v>31087</v>
      </c>
      <c r="C25" s="121"/>
      <c r="D25" s="121">
        <v>8</v>
      </c>
      <c r="E25" s="117">
        <v>1</v>
      </c>
      <c r="F25" s="125">
        <v>2</v>
      </c>
      <c r="G25" s="125">
        <v>2</v>
      </c>
    </row>
    <row r="26" spans="1:7">
      <c r="A26" s="117" t="s">
        <v>382</v>
      </c>
      <c r="B26" s="124">
        <v>31105</v>
      </c>
      <c r="C26" s="121"/>
      <c r="D26" s="121">
        <v>8</v>
      </c>
      <c r="E26" s="117">
        <v>1</v>
      </c>
      <c r="F26" s="125">
        <v>2</v>
      </c>
      <c r="G26" s="125">
        <v>2</v>
      </c>
    </row>
    <row r="27" spans="1:7">
      <c r="A27" s="117" t="s">
        <v>382</v>
      </c>
      <c r="B27" s="124">
        <v>31112</v>
      </c>
      <c r="C27" s="121"/>
      <c r="D27" s="121">
        <v>8</v>
      </c>
      <c r="E27" s="117">
        <v>1</v>
      </c>
      <c r="F27" s="125">
        <v>2</v>
      </c>
      <c r="G27" s="125">
        <v>2</v>
      </c>
    </row>
    <row r="28" spans="1:7">
      <c r="A28" s="117" t="s">
        <v>382</v>
      </c>
      <c r="B28" s="124">
        <v>31113</v>
      </c>
      <c r="C28" s="121"/>
      <c r="D28" s="121">
        <v>8</v>
      </c>
      <c r="E28" s="117">
        <v>1</v>
      </c>
      <c r="F28" s="125">
        <v>2</v>
      </c>
      <c r="G28" s="125">
        <v>2</v>
      </c>
    </row>
    <row r="29" spans="1:7">
      <c r="A29" s="117" t="s">
        <v>382</v>
      </c>
      <c r="B29" s="124">
        <v>31116</v>
      </c>
      <c r="C29" s="121"/>
      <c r="D29" s="121">
        <v>8</v>
      </c>
      <c r="E29" s="117">
        <v>1</v>
      </c>
      <c r="F29" s="125">
        <v>2</v>
      </c>
      <c r="G29" s="125">
        <v>2</v>
      </c>
    </row>
    <row r="30" spans="1:7">
      <c r="A30" s="117" t="s">
        <v>382</v>
      </c>
      <c r="B30" s="124">
        <v>31121</v>
      </c>
      <c r="C30" s="121"/>
      <c r="D30" s="121">
        <v>8</v>
      </c>
      <c r="E30" s="117">
        <v>1</v>
      </c>
      <c r="F30" s="125">
        <v>2</v>
      </c>
      <c r="G30" s="125">
        <v>2</v>
      </c>
    </row>
    <row r="31" spans="1:7">
      <c r="A31" s="117" t="s">
        <v>382</v>
      </c>
      <c r="B31" s="124">
        <v>31122</v>
      </c>
      <c r="C31" s="121"/>
      <c r="D31" s="121">
        <v>8</v>
      </c>
      <c r="E31" s="117">
        <v>1</v>
      </c>
      <c r="F31" s="125">
        <v>2</v>
      </c>
      <c r="G31" s="125">
        <v>2</v>
      </c>
    </row>
    <row r="32" spans="1:7">
      <c r="A32" s="117" t="s">
        <v>382</v>
      </c>
      <c r="B32" s="124">
        <v>31131</v>
      </c>
      <c r="C32" s="121"/>
      <c r="D32" s="121">
        <v>8</v>
      </c>
      <c r="E32" s="117">
        <v>1</v>
      </c>
      <c r="F32" s="125">
        <v>2</v>
      </c>
      <c r="G32" s="125">
        <v>2</v>
      </c>
    </row>
    <row r="33" spans="1:7">
      <c r="A33" s="117" t="s">
        <v>382</v>
      </c>
      <c r="B33" s="124">
        <v>31132</v>
      </c>
      <c r="C33" s="121"/>
      <c r="D33" s="121">
        <v>8</v>
      </c>
      <c r="E33" s="117">
        <v>1</v>
      </c>
      <c r="F33" s="125">
        <v>2</v>
      </c>
      <c r="G33" s="125">
        <v>2</v>
      </c>
    </row>
    <row r="34" spans="1:7">
      <c r="A34" s="117" t="s">
        <v>382</v>
      </c>
      <c r="B34" s="124">
        <v>31134</v>
      </c>
      <c r="C34" s="121"/>
      <c r="D34" s="121">
        <v>8</v>
      </c>
      <c r="E34" s="117">
        <v>1</v>
      </c>
      <c r="F34" s="125">
        <v>2</v>
      </c>
      <c r="G34" s="125">
        <v>2</v>
      </c>
    </row>
    <row r="35" spans="1:7">
      <c r="A35" s="117" t="s">
        <v>382</v>
      </c>
      <c r="B35" s="124">
        <v>31135</v>
      </c>
      <c r="C35" s="121"/>
      <c r="D35" s="121">
        <v>8</v>
      </c>
      <c r="E35" s="117">
        <v>1</v>
      </c>
      <c r="F35" s="125">
        <v>2</v>
      </c>
      <c r="G35" s="125">
        <v>2</v>
      </c>
    </row>
    <row r="36" spans="1:7">
      <c r="A36" s="117" t="s">
        <v>382</v>
      </c>
      <c r="B36" s="124">
        <v>31136</v>
      </c>
      <c r="C36" s="121"/>
      <c r="D36" s="121">
        <v>8</v>
      </c>
      <c r="E36" s="117">
        <v>1</v>
      </c>
      <c r="F36" s="125">
        <v>2</v>
      </c>
      <c r="G36" s="125">
        <v>2</v>
      </c>
    </row>
    <row r="37" spans="1:7">
      <c r="A37" s="117" t="s">
        <v>382</v>
      </c>
      <c r="B37" s="124">
        <v>31137</v>
      </c>
      <c r="C37" s="121"/>
      <c r="D37" s="121">
        <v>8</v>
      </c>
      <c r="E37" s="117">
        <v>1</v>
      </c>
      <c r="F37" s="125">
        <v>2</v>
      </c>
      <c r="G37" s="125">
        <v>2</v>
      </c>
    </row>
    <row r="38" spans="1:7">
      <c r="A38" s="117" t="s">
        <v>382</v>
      </c>
      <c r="B38" s="124">
        <v>31138</v>
      </c>
      <c r="C38" s="121"/>
      <c r="D38" s="121">
        <v>8</v>
      </c>
      <c r="E38" s="117">
        <v>1</v>
      </c>
      <c r="F38" s="125">
        <v>2</v>
      </c>
      <c r="G38" s="125">
        <v>2</v>
      </c>
    </row>
    <row r="39" spans="1:7">
      <c r="A39" s="117" t="s">
        <v>382</v>
      </c>
      <c r="B39" s="124">
        <v>31139</v>
      </c>
      <c r="C39" s="121"/>
      <c r="D39" s="121">
        <v>8</v>
      </c>
      <c r="E39" s="117">
        <v>1</v>
      </c>
      <c r="F39" s="125">
        <v>2</v>
      </c>
      <c r="G39" s="125">
        <v>2</v>
      </c>
    </row>
    <row r="40" spans="1:7">
      <c r="A40" s="117" t="s">
        <v>382</v>
      </c>
      <c r="B40" s="124">
        <v>31140</v>
      </c>
      <c r="C40" s="121"/>
      <c r="D40" s="121">
        <v>8</v>
      </c>
      <c r="E40" s="117">
        <v>1</v>
      </c>
      <c r="F40" s="125">
        <v>2</v>
      </c>
      <c r="G40" s="125">
        <v>2</v>
      </c>
    </row>
    <row r="41" spans="1:7">
      <c r="A41" s="117" t="s">
        <v>382</v>
      </c>
      <c r="B41" s="124">
        <v>31141</v>
      </c>
      <c r="C41" s="121"/>
      <c r="D41" s="121">
        <v>8</v>
      </c>
      <c r="E41" s="117">
        <v>1</v>
      </c>
      <c r="F41" s="125">
        <v>2</v>
      </c>
      <c r="G41" s="125">
        <v>2</v>
      </c>
    </row>
    <row r="42" spans="1:7">
      <c r="A42" s="117" t="s">
        <v>382</v>
      </c>
      <c r="B42" s="124">
        <v>31142</v>
      </c>
      <c r="C42" s="121"/>
      <c r="D42" s="121">
        <v>8</v>
      </c>
      <c r="E42" s="117">
        <v>1</v>
      </c>
      <c r="F42" s="125">
        <v>2</v>
      </c>
      <c r="G42" s="125">
        <v>2</v>
      </c>
    </row>
    <row r="43" spans="1:7">
      <c r="A43" s="117" t="s">
        <v>382</v>
      </c>
      <c r="B43" s="124">
        <v>31143</v>
      </c>
      <c r="C43" s="121"/>
      <c r="D43" s="121">
        <v>8</v>
      </c>
      <c r="E43" s="117">
        <v>1</v>
      </c>
      <c r="F43" s="125">
        <v>2</v>
      </c>
      <c r="G43" s="125">
        <v>2</v>
      </c>
    </row>
    <row r="44" spans="1:7">
      <c r="A44" s="117" t="s">
        <v>382</v>
      </c>
      <c r="B44" s="124">
        <v>31144</v>
      </c>
      <c r="C44" s="121"/>
      <c r="D44" s="121">
        <v>8</v>
      </c>
      <c r="E44" s="117">
        <v>1</v>
      </c>
      <c r="F44" s="125">
        <v>2</v>
      </c>
      <c r="G44" s="125">
        <v>2</v>
      </c>
    </row>
    <row r="45" spans="1:7">
      <c r="A45" s="117" t="s">
        <v>382</v>
      </c>
      <c r="B45" s="124">
        <v>31145</v>
      </c>
      <c r="C45" s="121"/>
      <c r="D45" s="121">
        <v>8</v>
      </c>
      <c r="E45" s="117">
        <v>1</v>
      </c>
      <c r="F45" s="125">
        <v>2</v>
      </c>
      <c r="G45" s="125">
        <v>2</v>
      </c>
    </row>
    <row r="46" spans="1:7">
      <c r="A46" s="117" t="s">
        <v>382</v>
      </c>
      <c r="B46" s="124">
        <v>31146</v>
      </c>
      <c r="C46" s="121"/>
      <c r="D46" s="121">
        <v>8</v>
      </c>
      <c r="E46" s="117">
        <v>1</v>
      </c>
      <c r="F46" s="125">
        <v>2</v>
      </c>
      <c r="G46" s="125">
        <v>2</v>
      </c>
    </row>
    <row r="47" spans="1:7">
      <c r="A47" s="117" t="s">
        <v>382</v>
      </c>
      <c r="B47" s="124">
        <v>31147</v>
      </c>
      <c r="C47" s="121"/>
      <c r="D47" s="121">
        <v>8</v>
      </c>
      <c r="E47" s="117">
        <v>1</v>
      </c>
      <c r="F47" s="125">
        <v>2</v>
      </c>
      <c r="G47" s="125">
        <v>2</v>
      </c>
    </row>
    <row r="48" spans="1:7">
      <c r="A48" s="117" t="s">
        <v>382</v>
      </c>
      <c r="B48" s="124">
        <v>31148</v>
      </c>
      <c r="C48" s="121"/>
      <c r="D48" s="121">
        <v>8</v>
      </c>
      <c r="E48" s="117">
        <v>1</v>
      </c>
      <c r="F48" s="125">
        <v>2</v>
      </c>
      <c r="G48" s="125">
        <v>2</v>
      </c>
    </row>
    <row r="49" spans="1:7">
      <c r="A49" s="117" t="s">
        <v>382</v>
      </c>
      <c r="B49" s="124">
        <v>31149</v>
      </c>
      <c r="C49" s="121"/>
      <c r="D49" s="121">
        <v>8</v>
      </c>
      <c r="E49" s="117">
        <v>1</v>
      </c>
      <c r="F49" s="125">
        <v>2</v>
      </c>
      <c r="G49" s="125">
        <v>2</v>
      </c>
    </row>
    <row r="50" spans="1:7">
      <c r="A50" s="117" t="s">
        <v>382</v>
      </c>
      <c r="B50" s="124">
        <v>31150</v>
      </c>
      <c r="C50" s="121"/>
      <c r="D50" s="121">
        <v>8</v>
      </c>
      <c r="E50" s="117">
        <v>1</v>
      </c>
      <c r="F50" s="125">
        <v>2</v>
      </c>
      <c r="G50" s="125">
        <v>2</v>
      </c>
    </row>
    <row r="51" spans="1:7">
      <c r="A51" s="117" t="s">
        <v>382</v>
      </c>
      <c r="B51" s="124">
        <v>31151</v>
      </c>
      <c r="C51" s="121"/>
      <c r="D51" s="121">
        <v>8</v>
      </c>
      <c r="E51" s="117">
        <v>1</v>
      </c>
      <c r="F51" s="125">
        <v>2</v>
      </c>
      <c r="G51" s="125">
        <v>2</v>
      </c>
    </row>
    <row r="52" spans="1:7">
      <c r="A52" s="117" t="s">
        <v>382</v>
      </c>
      <c r="B52" s="124">
        <v>31152</v>
      </c>
      <c r="C52" s="121"/>
      <c r="D52" s="121">
        <v>8</v>
      </c>
      <c r="E52" s="117">
        <v>1</v>
      </c>
      <c r="F52" s="125">
        <v>2</v>
      </c>
      <c r="G52" s="125">
        <v>2</v>
      </c>
    </row>
    <row r="53" spans="1:7">
      <c r="A53" s="117" t="s">
        <v>382</v>
      </c>
      <c r="B53" s="124">
        <v>31153</v>
      </c>
      <c r="C53" s="121"/>
      <c r="D53" s="121">
        <v>8</v>
      </c>
      <c r="E53" s="117">
        <v>1</v>
      </c>
      <c r="F53" s="125">
        <v>2</v>
      </c>
      <c r="G53" s="125">
        <v>2</v>
      </c>
    </row>
    <row r="54" spans="1:7">
      <c r="A54" s="117" t="s">
        <v>382</v>
      </c>
      <c r="B54" s="124">
        <v>31154</v>
      </c>
      <c r="C54" s="121"/>
      <c r="D54" s="121">
        <v>8</v>
      </c>
      <c r="E54" s="117">
        <v>1</v>
      </c>
      <c r="F54" s="125">
        <v>2</v>
      </c>
      <c r="G54" s="125">
        <v>2</v>
      </c>
    </row>
    <row r="55" spans="1:7">
      <c r="A55" s="117" t="s">
        <v>382</v>
      </c>
      <c r="B55" s="124">
        <v>31155</v>
      </c>
      <c r="C55" s="121"/>
      <c r="D55" s="121">
        <v>8</v>
      </c>
      <c r="E55" s="117">
        <v>1</v>
      </c>
      <c r="F55" s="125">
        <v>2</v>
      </c>
      <c r="G55" s="125">
        <v>2</v>
      </c>
    </row>
    <row r="56" spans="1:7">
      <c r="A56" s="117" t="s">
        <v>382</v>
      </c>
      <c r="B56" s="124">
        <v>31156</v>
      </c>
      <c r="C56" s="121"/>
      <c r="D56" s="121">
        <v>8</v>
      </c>
      <c r="E56" s="117">
        <v>1</v>
      </c>
      <c r="F56" s="125">
        <v>2</v>
      </c>
      <c r="G56" s="125">
        <v>2</v>
      </c>
    </row>
    <row r="57" spans="1:7">
      <c r="A57" s="117" t="s">
        <v>382</v>
      </c>
      <c r="B57" s="124">
        <v>31157</v>
      </c>
      <c r="C57" s="121"/>
      <c r="D57" s="121">
        <v>8</v>
      </c>
      <c r="E57" s="117">
        <v>1</v>
      </c>
      <c r="F57" s="125">
        <v>2</v>
      </c>
      <c r="G57" s="125">
        <v>2</v>
      </c>
    </row>
    <row r="58" spans="1:7">
      <c r="A58" s="117" t="s">
        <v>382</v>
      </c>
      <c r="B58" s="124">
        <v>31158</v>
      </c>
      <c r="C58" s="121"/>
      <c r="D58" s="121">
        <v>8</v>
      </c>
      <c r="E58" s="117">
        <v>1</v>
      </c>
      <c r="F58" s="125">
        <v>2</v>
      </c>
      <c r="G58" s="125">
        <v>2</v>
      </c>
    </row>
    <row r="59" spans="1:7">
      <c r="A59" s="117" t="s">
        <v>382</v>
      </c>
      <c r="B59" s="124">
        <v>31159</v>
      </c>
      <c r="C59" s="121"/>
      <c r="D59" s="121">
        <v>8</v>
      </c>
      <c r="E59" s="117">
        <v>1</v>
      </c>
      <c r="F59" s="125">
        <v>2</v>
      </c>
      <c r="G59" s="125">
        <v>2</v>
      </c>
    </row>
    <row r="60" spans="1:7">
      <c r="A60" s="117" t="s">
        <v>382</v>
      </c>
      <c r="B60" s="124">
        <v>31160</v>
      </c>
      <c r="C60" s="121"/>
      <c r="D60" s="121">
        <v>8</v>
      </c>
      <c r="E60" s="117">
        <v>1</v>
      </c>
      <c r="F60" s="125">
        <v>2</v>
      </c>
      <c r="G60" s="125">
        <v>2</v>
      </c>
    </row>
    <row r="61" spans="1:7">
      <c r="A61" s="117" t="s">
        <v>382</v>
      </c>
      <c r="B61" s="124">
        <v>31161</v>
      </c>
      <c r="C61" s="121"/>
      <c r="D61" s="121">
        <v>8</v>
      </c>
      <c r="E61" s="117">
        <v>1</v>
      </c>
      <c r="F61" s="125">
        <v>2</v>
      </c>
      <c r="G61" s="125">
        <v>2</v>
      </c>
    </row>
    <row r="62" spans="1:7">
      <c r="A62" s="117" t="s">
        <v>382</v>
      </c>
      <c r="B62" s="124">
        <v>31162</v>
      </c>
      <c r="C62" s="121"/>
      <c r="D62" s="121">
        <v>8</v>
      </c>
      <c r="E62" s="117">
        <v>1</v>
      </c>
      <c r="F62" s="125">
        <v>2</v>
      </c>
      <c r="G62" s="125">
        <v>2</v>
      </c>
    </row>
    <row r="63" spans="1:7">
      <c r="A63" s="117" t="s">
        <v>382</v>
      </c>
      <c r="B63" s="124">
        <v>31163</v>
      </c>
      <c r="C63" s="121"/>
      <c r="D63" s="121">
        <v>8</v>
      </c>
      <c r="E63" s="117">
        <v>1</v>
      </c>
      <c r="F63" s="125">
        <v>2</v>
      </c>
      <c r="G63" s="125">
        <v>2</v>
      </c>
    </row>
    <row r="64" spans="1:7">
      <c r="A64" s="117" t="s">
        <v>382</v>
      </c>
      <c r="B64" s="124">
        <v>31164</v>
      </c>
      <c r="C64" s="121"/>
      <c r="D64" s="121">
        <v>8</v>
      </c>
      <c r="E64" s="117">
        <v>1</v>
      </c>
      <c r="F64" s="125">
        <v>2</v>
      </c>
      <c r="G64" s="125">
        <v>2</v>
      </c>
    </row>
    <row r="65" spans="1:7">
      <c r="A65" s="117" t="s">
        <v>382</v>
      </c>
      <c r="B65" s="124">
        <v>31165</v>
      </c>
      <c r="C65" s="121"/>
      <c r="D65" s="121">
        <v>8</v>
      </c>
      <c r="E65" s="117">
        <v>1</v>
      </c>
      <c r="F65" s="125">
        <v>2</v>
      </c>
      <c r="G65" s="125">
        <v>2</v>
      </c>
    </row>
    <row r="66" spans="1:7">
      <c r="A66" s="117" t="s">
        <v>382</v>
      </c>
      <c r="B66" s="124">
        <v>31166</v>
      </c>
      <c r="C66" s="121"/>
      <c r="D66" s="121">
        <v>8</v>
      </c>
      <c r="E66" s="117">
        <v>1</v>
      </c>
      <c r="F66" s="125">
        <v>2</v>
      </c>
      <c r="G66" s="125">
        <v>2</v>
      </c>
    </row>
    <row r="67" spans="1:7">
      <c r="A67" s="117" t="s">
        <v>382</v>
      </c>
      <c r="B67" s="124">
        <v>31167</v>
      </c>
      <c r="C67" s="121"/>
      <c r="D67" s="121">
        <v>8</v>
      </c>
      <c r="E67" s="117">
        <v>1</v>
      </c>
      <c r="F67" s="125">
        <v>2</v>
      </c>
      <c r="G67" s="125">
        <v>2</v>
      </c>
    </row>
    <row r="68" spans="1:7">
      <c r="A68" s="117" t="s">
        <v>382</v>
      </c>
      <c r="B68" s="124">
        <v>31168</v>
      </c>
      <c r="C68" s="121"/>
      <c r="D68" s="121">
        <v>8</v>
      </c>
      <c r="E68" s="117">
        <v>1</v>
      </c>
      <c r="F68" s="125">
        <v>2</v>
      </c>
      <c r="G68" s="125">
        <v>2</v>
      </c>
    </row>
    <row r="69" spans="1:7">
      <c r="A69" s="117" t="s">
        <v>382</v>
      </c>
      <c r="B69" s="124">
        <v>31169</v>
      </c>
      <c r="C69" s="121"/>
      <c r="D69" s="121">
        <v>8</v>
      </c>
      <c r="E69" s="117">
        <v>1</v>
      </c>
      <c r="F69" s="125">
        <v>2</v>
      </c>
      <c r="G69" s="125">
        <v>2</v>
      </c>
    </row>
    <row r="70" spans="1:7">
      <c r="A70" s="117" t="s">
        <v>382</v>
      </c>
      <c r="B70" s="124">
        <v>31170</v>
      </c>
      <c r="C70" s="121"/>
      <c r="D70" s="121">
        <v>8</v>
      </c>
      <c r="E70" s="117">
        <v>1</v>
      </c>
      <c r="F70" s="125">
        <v>2</v>
      </c>
      <c r="G70" s="125">
        <v>2</v>
      </c>
    </row>
    <row r="71" spans="1:7">
      <c r="A71" s="117" t="s">
        <v>382</v>
      </c>
      <c r="B71" s="124">
        <v>31171</v>
      </c>
      <c r="C71" s="121"/>
      <c r="D71" s="121">
        <v>8</v>
      </c>
      <c r="E71" s="117">
        <v>1</v>
      </c>
      <c r="F71" s="125">
        <v>2</v>
      </c>
      <c r="G71" s="125">
        <v>2</v>
      </c>
    </row>
    <row r="72" spans="1:7">
      <c r="A72" s="117" t="s">
        <v>382</v>
      </c>
      <c r="B72" s="124">
        <v>31172</v>
      </c>
      <c r="C72" s="121"/>
      <c r="D72" s="121">
        <v>8</v>
      </c>
      <c r="E72" s="117">
        <v>1</v>
      </c>
      <c r="F72" s="125">
        <v>2</v>
      </c>
      <c r="G72" s="125">
        <v>2</v>
      </c>
    </row>
    <row r="73" spans="1:7">
      <c r="A73" s="117" t="s">
        <v>382</v>
      </c>
      <c r="B73" s="124">
        <v>31173</v>
      </c>
      <c r="C73" s="121"/>
      <c r="D73" s="121">
        <v>8</v>
      </c>
      <c r="E73" s="117">
        <v>1</v>
      </c>
      <c r="F73" s="125">
        <v>2</v>
      </c>
      <c r="G73" s="125">
        <v>2</v>
      </c>
    </row>
    <row r="74" spans="1:7">
      <c r="A74" s="117" t="s">
        <v>382</v>
      </c>
      <c r="B74" s="124">
        <v>31174</v>
      </c>
      <c r="C74" s="121"/>
      <c r="D74" s="121">
        <v>8</v>
      </c>
      <c r="E74" s="117">
        <v>1</v>
      </c>
      <c r="F74" s="125">
        <v>2</v>
      </c>
      <c r="G74" s="125">
        <v>2</v>
      </c>
    </row>
    <row r="75" spans="1:7">
      <c r="A75" s="117" t="s">
        <v>382</v>
      </c>
      <c r="B75" s="124">
        <v>31175</v>
      </c>
      <c r="C75" s="121"/>
      <c r="D75" s="121">
        <v>8</v>
      </c>
      <c r="E75" s="117">
        <v>1</v>
      </c>
      <c r="F75" s="125">
        <v>2</v>
      </c>
      <c r="G75" s="125">
        <v>2</v>
      </c>
    </row>
    <row r="76" spans="1:7">
      <c r="A76" s="117" t="s">
        <v>382</v>
      </c>
      <c r="B76" s="124">
        <v>31176</v>
      </c>
      <c r="C76" s="121"/>
      <c r="D76" s="121">
        <v>8</v>
      </c>
      <c r="E76" s="117">
        <v>1</v>
      </c>
      <c r="F76" s="125">
        <v>2</v>
      </c>
      <c r="G76" s="125">
        <v>2</v>
      </c>
    </row>
    <row r="77" spans="1:7">
      <c r="A77" s="117" t="s">
        <v>382</v>
      </c>
      <c r="B77" s="124">
        <v>31177</v>
      </c>
      <c r="C77" s="121"/>
      <c r="D77" s="121">
        <v>8</v>
      </c>
      <c r="E77" s="117">
        <v>1</v>
      </c>
      <c r="F77" s="125">
        <v>2</v>
      </c>
      <c r="G77" s="125">
        <v>2</v>
      </c>
    </row>
    <row r="78" spans="1:7">
      <c r="A78" s="117" t="s">
        <v>382</v>
      </c>
      <c r="B78" s="124">
        <v>31178</v>
      </c>
      <c r="C78" s="121"/>
      <c r="D78" s="121">
        <v>8</v>
      </c>
      <c r="E78" s="117">
        <v>1</v>
      </c>
      <c r="F78" s="125">
        <v>2</v>
      </c>
      <c r="G78" s="125">
        <v>2</v>
      </c>
    </row>
    <row r="79" spans="1:7">
      <c r="A79" s="117" t="s">
        <v>382</v>
      </c>
      <c r="B79" s="124">
        <v>31179</v>
      </c>
      <c r="C79" s="121"/>
      <c r="D79" s="121">
        <v>8</v>
      </c>
      <c r="E79" s="117">
        <v>1</v>
      </c>
      <c r="F79" s="125">
        <v>2</v>
      </c>
      <c r="G79" s="125">
        <v>2</v>
      </c>
    </row>
    <row r="80" spans="1:7">
      <c r="A80" s="117" t="s">
        <v>382</v>
      </c>
      <c r="B80" s="124">
        <v>31181</v>
      </c>
      <c r="C80" s="121"/>
      <c r="D80" s="121">
        <v>8</v>
      </c>
      <c r="E80" s="117">
        <v>1</v>
      </c>
      <c r="F80" s="125">
        <v>2</v>
      </c>
      <c r="G80" s="125">
        <v>2</v>
      </c>
    </row>
    <row r="81" spans="1:7">
      <c r="A81" s="117" t="s">
        <v>382</v>
      </c>
      <c r="B81" s="124">
        <v>31182</v>
      </c>
      <c r="C81" s="121"/>
      <c r="D81" s="121">
        <v>8</v>
      </c>
      <c r="E81" s="117">
        <v>1</v>
      </c>
      <c r="F81" s="125">
        <v>2</v>
      </c>
      <c r="G81" s="125">
        <v>2</v>
      </c>
    </row>
    <row r="82" spans="1:7">
      <c r="A82" s="117" t="s">
        <v>382</v>
      </c>
      <c r="B82" s="124">
        <v>31183</v>
      </c>
      <c r="C82" s="121"/>
      <c r="D82" s="121">
        <v>8</v>
      </c>
      <c r="E82" s="117">
        <v>1</v>
      </c>
      <c r="F82" s="125">
        <v>2</v>
      </c>
      <c r="G82" s="125">
        <v>2</v>
      </c>
    </row>
    <row r="83" spans="1:7">
      <c r="A83" s="117" t="s">
        <v>382</v>
      </c>
      <c r="B83" s="124">
        <v>31184</v>
      </c>
      <c r="C83" s="121"/>
      <c r="D83" s="121">
        <v>8</v>
      </c>
      <c r="E83" s="117">
        <v>1</v>
      </c>
      <c r="F83" s="125">
        <v>2</v>
      </c>
      <c r="G83" s="125">
        <v>2</v>
      </c>
    </row>
    <row r="84" spans="1:7">
      <c r="A84" s="117" t="s">
        <v>382</v>
      </c>
      <c r="B84" s="124">
        <v>31185</v>
      </c>
      <c r="C84" s="121"/>
      <c r="D84" s="121">
        <v>8</v>
      </c>
      <c r="E84" s="117">
        <v>1</v>
      </c>
      <c r="F84" s="125">
        <v>2</v>
      </c>
      <c r="G84" s="125">
        <v>2</v>
      </c>
    </row>
    <row r="85" spans="1:7">
      <c r="A85" s="117" t="s">
        <v>382</v>
      </c>
      <c r="B85" s="124">
        <v>31186</v>
      </c>
      <c r="C85" s="121"/>
      <c r="D85" s="121">
        <v>8</v>
      </c>
      <c r="E85" s="117">
        <v>1</v>
      </c>
      <c r="F85" s="125">
        <v>2</v>
      </c>
      <c r="G85" s="125">
        <v>2</v>
      </c>
    </row>
    <row r="86" spans="1:7">
      <c r="A86" s="117" t="s">
        <v>382</v>
      </c>
      <c r="B86" s="124">
        <v>31187</v>
      </c>
      <c r="C86" s="121"/>
      <c r="D86" s="121">
        <v>8</v>
      </c>
      <c r="E86" s="117">
        <v>1</v>
      </c>
      <c r="F86" s="125">
        <v>2</v>
      </c>
      <c r="G86" s="125">
        <v>2</v>
      </c>
    </row>
    <row r="87" spans="1:7">
      <c r="A87" s="117" t="s">
        <v>382</v>
      </c>
      <c r="B87" s="124">
        <v>31188</v>
      </c>
      <c r="C87" s="121"/>
      <c r="D87" s="121">
        <v>8</v>
      </c>
      <c r="E87" s="117">
        <v>1</v>
      </c>
      <c r="F87" s="125">
        <v>2</v>
      </c>
      <c r="G87" s="125">
        <v>2</v>
      </c>
    </row>
    <row r="88" spans="1:7">
      <c r="A88" s="117" t="s">
        <v>382</v>
      </c>
      <c r="B88" s="124">
        <v>31189</v>
      </c>
      <c r="C88" s="121"/>
      <c r="D88" s="121">
        <v>8</v>
      </c>
      <c r="E88" s="117">
        <v>1</v>
      </c>
      <c r="F88" s="125">
        <v>2</v>
      </c>
      <c r="G88" s="125">
        <v>2</v>
      </c>
    </row>
    <row r="89" spans="1:7">
      <c r="A89" s="117" t="s">
        <v>382</v>
      </c>
      <c r="B89" s="124">
        <v>31190</v>
      </c>
      <c r="C89" s="121"/>
      <c r="D89" s="121">
        <v>8</v>
      </c>
      <c r="E89" s="117">
        <v>1</v>
      </c>
      <c r="F89" s="125">
        <v>2</v>
      </c>
      <c r="G89" s="125">
        <v>2</v>
      </c>
    </row>
    <row r="90" spans="1:7">
      <c r="A90" s="117" t="s">
        <v>382</v>
      </c>
      <c r="B90" s="124">
        <v>31191</v>
      </c>
      <c r="C90" s="121"/>
      <c r="D90" s="121">
        <v>8</v>
      </c>
      <c r="E90" s="117">
        <v>1</v>
      </c>
      <c r="F90" s="125">
        <v>2</v>
      </c>
      <c r="G90" s="125">
        <v>2</v>
      </c>
    </row>
    <row r="91" spans="1:7">
      <c r="A91" s="117" t="s">
        <v>382</v>
      </c>
      <c r="B91" s="124">
        <v>31192</v>
      </c>
      <c r="C91" s="121"/>
      <c r="D91" s="121">
        <v>8</v>
      </c>
      <c r="E91" s="117">
        <v>1</v>
      </c>
      <c r="F91" s="125">
        <v>2</v>
      </c>
      <c r="G91" s="125">
        <v>2</v>
      </c>
    </row>
    <row r="92" spans="1:7">
      <c r="A92" s="117" t="s">
        <v>382</v>
      </c>
      <c r="B92" s="124">
        <v>31193</v>
      </c>
      <c r="C92" s="121"/>
      <c r="D92" s="121">
        <v>8</v>
      </c>
      <c r="E92" s="117">
        <v>1</v>
      </c>
      <c r="F92" s="125">
        <v>2</v>
      </c>
      <c r="G92" s="125">
        <v>2</v>
      </c>
    </row>
    <row r="93" spans="1:7">
      <c r="A93" s="117" t="s">
        <v>382</v>
      </c>
      <c r="B93" s="124">
        <v>31194</v>
      </c>
      <c r="C93" s="121"/>
      <c r="D93" s="121">
        <v>8</v>
      </c>
      <c r="E93" s="117">
        <v>1</v>
      </c>
      <c r="F93" s="125">
        <v>2</v>
      </c>
      <c r="G93" s="125">
        <v>2</v>
      </c>
    </row>
    <row r="94" spans="1:7">
      <c r="A94" s="117" t="s">
        <v>382</v>
      </c>
      <c r="B94" s="124">
        <v>31195</v>
      </c>
      <c r="C94" s="121"/>
      <c r="D94" s="121">
        <v>8</v>
      </c>
      <c r="E94" s="117">
        <v>1</v>
      </c>
      <c r="F94" s="125">
        <v>2</v>
      </c>
      <c r="G94" s="125">
        <v>2</v>
      </c>
    </row>
    <row r="95" spans="1:7">
      <c r="A95" s="117" t="s">
        <v>382</v>
      </c>
      <c r="B95" s="124">
        <v>31196</v>
      </c>
      <c r="C95" s="121"/>
      <c r="D95" s="121">
        <v>8</v>
      </c>
      <c r="E95" s="117">
        <v>1</v>
      </c>
      <c r="F95" s="125">
        <v>2</v>
      </c>
      <c r="G95" s="125">
        <v>2</v>
      </c>
    </row>
    <row r="96" spans="1:7">
      <c r="A96" s="117" t="s">
        <v>382</v>
      </c>
      <c r="B96" s="124">
        <v>31197</v>
      </c>
      <c r="C96" s="121"/>
      <c r="D96" s="121">
        <v>8</v>
      </c>
      <c r="E96" s="117">
        <v>1</v>
      </c>
      <c r="F96" s="125">
        <v>2</v>
      </c>
      <c r="G96" s="125">
        <v>2</v>
      </c>
    </row>
    <row r="97" spans="1:7">
      <c r="A97" s="117" t="s">
        <v>382</v>
      </c>
      <c r="B97" s="124">
        <v>31198</v>
      </c>
      <c r="C97" s="121"/>
      <c r="D97" s="121">
        <v>8</v>
      </c>
      <c r="E97" s="117">
        <v>1</v>
      </c>
      <c r="F97" s="125">
        <v>2</v>
      </c>
      <c r="G97" s="125">
        <v>2</v>
      </c>
    </row>
    <row r="98" spans="1:7">
      <c r="A98" s="117" t="s">
        <v>382</v>
      </c>
      <c r="B98" s="124">
        <v>31199</v>
      </c>
      <c r="C98" s="121"/>
      <c r="D98" s="121">
        <v>8</v>
      </c>
      <c r="E98" s="117">
        <v>1</v>
      </c>
      <c r="F98" s="125">
        <v>2</v>
      </c>
      <c r="G98" s="125">
        <v>2</v>
      </c>
    </row>
    <row r="99" spans="1:7">
      <c r="A99" s="117" t="s">
        <v>382</v>
      </c>
      <c r="B99" s="124">
        <v>31200</v>
      </c>
      <c r="C99" s="121"/>
      <c r="D99" s="121">
        <v>8</v>
      </c>
      <c r="E99" s="117">
        <v>1</v>
      </c>
      <c r="F99" s="125">
        <v>2</v>
      </c>
      <c r="G99" s="125">
        <v>2</v>
      </c>
    </row>
    <row r="100" spans="1:7">
      <c r="A100" s="117" t="s">
        <v>382</v>
      </c>
      <c r="B100" s="124">
        <v>31201</v>
      </c>
      <c r="C100" s="121"/>
      <c r="D100" s="121">
        <v>8</v>
      </c>
      <c r="E100" s="117">
        <v>1</v>
      </c>
      <c r="F100" s="125">
        <v>2</v>
      </c>
      <c r="G100" s="125">
        <v>2</v>
      </c>
    </row>
    <row r="101" spans="1:7">
      <c r="A101" s="117" t="s">
        <v>382</v>
      </c>
      <c r="B101" s="124">
        <v>31202</v>
      </c>
      <c r="C101" s="121"/>
      <c r="D101" s="121">
        <v>8</v>
      </c>
      <c r="E101" s="117">
        <v>1</v>
      </c>
      <c r="F101" s="125">
        <v>2</v>
      </c>
      <c r="G101" s="125">
        <v>2</v>
      </c>
    </row>
    <row r="102" spans="1:7">
      <c r="A102" s="117" t="s">
        <v>382</v>
      </c>
      <c r="B102" s="124">
        <v>31203</v>
      </c>
      <c r="C102" s="121"/>
      <c r="D102" s="121">
        <v>8</v>
      </c>
      <c r="E102" s="117">
        <v>1</v>
      </c>
      <c r="F102" s="125">
        <v>2</v>
      </c>
      <c r="G102" s="125">
        <v>2</v>
      </c>
    </row>
    <row r="103" spans="1:7">
      <c r="A103" s="117" t="s">
        <v>382</v>
      </c>
      <c r="B103" s="124">
        <v>31204</v>
      </c>
      <c r="C103" s="121"/>
      <c r="D103" s="121">
        <v>8</v>
      </c>
      <c r="E103" s="117">
        <v>1</v>
      </c>
      <c r="F103" s="125">
        <v>2</v>
      </c>
      <c r="G103" s="125">
        <v>2</v>
      </c>
    </row>
    <row r="104" spans="1:7">
      <c r="A104" s="117" t="s">
        <v>382</v>
      </c>
      <c r="B104" s="124">
        <v>31205</v>
      </c>
      <c r="C104" s="121"/>
      <c r="D104" s="121">
        <v>8</v>
      </c>
      <c r="E104" s="117">
        <v>1</v>
      </c>
      <c r="F104" s="125">
        <v>2</v>
      </c>
      <c r="G104" s="125">
        <v>2</v>
      </c>
    </row>
    <row r="105" spans="1:7">
      <c r="A105" s="117" t="s">
        <v>382</v>
      </c>
      <c r="B105" s="124">
        <v>31206</v>
      </c>
      <c r="C105" s="121"/>
      <c r="D105" s="121">
        <v>8</v>
      </c>
      <c r="E105" s="117">
        <v>1</v>
      </c>
      <c r="F105" s="125">
        <v>2</v>
      </c>
      <c r="G105" s="125">
        <v>2</v>
      </c>
    </row>
    <row r="106" spans="1:7">
      <c r="A106" s="117" t="s">
        <v>382</v>
      </c>
      <c r="B106" s="124">
        <v>31207</v>
      </c>
      <c r="C106" s="121"/>
      <c r="D106" s="121">
        <v>8</v>
      </c>
      <c r="E106" s="117">
        <v>1</v>
      </c>
      <c r="F106" s="125">
        <v>2</v>
      </c>
      <c r="G106" s="125">
        <v>2</v>
      </c>
    </row>
    <row r="107" spans="1:7">
      <c r="A107" s="117" t="s">
        <v>382</v>
      </c>
      <c r="B107" s="124">
        <v>31208</v>
      </c>
      <c r="C107" s="121"/>
      <c r="D107" s="121">
        <v>8</v>
      </c>
      <c r="E107" s="117">
        <v>1</v>
      </c>
      <c r="F107" s="125">
        <v>2</v>
      </c>
      <c r="G107" s="125">
        <v>2</v>
      </c>
    </row>
    <row r="108" spans="1:7">
      <c r="A108" s="117" t="s">
        <v>382</v>
      </c>
      <c r="B108" s="124">
        <v>31209</v>
      </c>
      <c r="C108" s="121"/>
      <c r="D108" s="121">
        <v>8</v>
      </c>
      <c r="E108" s="117">
        <v>1</v>
      </c>
      <c r="F108" s="125">
        <v>2</v>
      </c>
      <c r="G108" s="125">
        <v>2</v>
      </c>
    </row>
    <row r="109" spans="1:7">
      <c r="A109" s="117" t="s">
        <v>382</v>
      </c>
      <c r="B109" s="124">
        <v>31210</v>
      </c>
      <c r="C109" s="121"/>
      <c r="D109" s="121">
        <v>8</v>
      </c>
      <c r="E109" s="117">
        <v>1</v>
      </c>
      <c r="F109" s="125">
        <v>2</v>
      </c>
      <c r="G109" s="125">
        <v>2</v>
      </c>
    </row>
    <row r="110" spans="1:7">
      <c r="A110" s="117" t="s">
        <v>382</v>
      </c>
      <c r="B110" s="124">
        <v>31211</v>
      </c>
      <c r="C110" s="121"/>
      <c r="D110" s="121">
        <v>8</v>
      </c>
      <c r="E110" s="117">
        <v>1</v>
      </c>
      <c r="F110" s="125">
        <v>2</v>
      </c>
      <c r="G110" s="125">
        <v>2</v>
      </c>
    </row>
    <row r="111" spans="1:7">
      <c r="A111" s="117" t="s">
        <v>382</v>
      </c>
      <c r="B111" s="124">
        <v>31212</v>
      </c>
      <c r="C111" s="121"/>
      <c r="D111" s="121">
        <v>8</v>
      </c>
      <c r="E111" s="117">
        <v>1</v>
      </c>
      <c r="F111" s="125">
        <v>2</v>
      </c>
      <c r="G111" s="125">
        <v>2</v>
      </c>
    </row>
    <row r="112" spans="1:7">
      <c r="A112" s="117" t="s">
        <v>382</v>
      </c>
      <c r="B112" s="124">
        <v>31213</v>
      </c>
      <c r="C112" s="121"/>
      <c r="D112" s="121">
        <v>8</v>
      </c>
      <c r="E112" s="117">
        <v>1</v>
      </c>
      <c r="F112" s="125">
        <v>2</v>
      </c>
      <c r="G112" s="125">
        <v>2</v>
      </c>
    </row>
    <row r="113" spans="1:7">
      <c r="A113" s="117" t="s">
        <v>382</v>
      </c>
      <c r="B113" s="124">
        <v>31214</v>
      </c>
      <c r="C113" s="121"/>
      <c r="D113" s="121">
        <v>8</v>
      </c>
      <c r="E113" s="117">
        <v>1</v>
      </c>
      <c r="F113" s="125">
        <v>2</v>
      </c>
      <c r="G113" s="125">
        <v>2</v>
      </c>
    </row>
    <row r="114" spans="1:7">
      <c r="A114" s="117" t="s">
        <v>382</v>
      </c>
      <c r="B114" s="124">
        <v>31215</v>
      </c>
      <c r="C114" s="121"/>
      <c r="D114" s="121">
        <v>8</v>
      </c>
      <c r="E114" s="117">
        <v>1</v>
      </c>
      <c r="F114" s="125">
        <v>2</v>
      </c>
      <c r="G114" s="125">
        <v>2</v>
      </c>
    </row>
    <row r="115" spans="1:7">
      <c r="A115" s="117" t="s">
        <v>382</v>
      </c>
      <c r="B115" s="124">
        <v>31217</v>
      </c>
      <c r="C115" s="121"/>
      <c r="D115" s="121">
        <v>8</v>
      </c>
      <c r="E115" s="117">
        <v>1</v>
      </c>
      <c r="F115" s="125">
        <v>2</v>
      </c>
      <c r="G115" s="125">
        <v>2</v>
      </c>
    </row>
    <row r="116" spans="1:7">
      <c r="A116" s="117" t="s">
        <v>382</v>
      </c>
      <c r="B116" s="124">
        <v>31218</v>
      </c>
      <c r="C116" s="121"/>
      <c r="D116" s="121">
        <v>8</v>
      </c>
      <c r="E116" s="117">
        <v>1</v>
      </c>
      <c r="F116" s="125">
        <v>2</v>
      </c>
      <c r="G116" s="125">
        <v>2</v>
      </c>
    </row>
    <row r="117" spans="1:7">
      <c r="A117" s="117" t="s">
        <v>382</v>
      </c>
      <c r="B117" s="124">
        <v>31219</v>
      </c>
      <c r="C117" s="121"/>
      <c r="D117" s="121">
        <v>8</v>
      </c>
      <c r="E117" s="117">
        <v>1</v>
      </c>
      <c r="F117" s="125">
        <v>2</v>
      </c>
      <c r="G117" s="125">
        <v>2</v>
      </c>
    </row>
    <row r="118" spans="1:7">
      <c r="A118" s="117" t="s">
        <v>382</v>
      </c>
      <c r="B118" s="124">
        <v>31220</v>
      </c>
      <c r="C118" s="121"/>
      <c r="D118" s="121">
        <v>8</v>
      </c>
      <c r="E118" s="117">
        <v>1</v>
      </c>
      <c r="F118" s="125">
        <v>2</v>
      </c>
      <c r="G118" s="125">
        <v>2</v>
      </c>
    </row>
    <row r="119" spans="1:7">
      <c r="A119" s="117" t="s">
        <v>382</v>
      </c>
      <c r="B119" s="124">
        <v>31221</v>
      </c>
      <c r="C119" s="121"/>
      <c r="D119" s="121">
        <v>8</v>
      </c>
      <c r="E119" s="117">
        <v>1</v>
      </c>
      <c r="F119" s="125">
        <v>2</v>
      </c>
      <c r="G119" s="125">
        <v>2</v>
      </c>
    </row>
    <row r="120" spans="1:7">
      <c r="A120" s="117" t="s">
        <v>382</v>
      </c>
      <c r="B120" s="124">
        <v>31222</v>
      </c>
      <c r="C120" s="121"/>
      <c r="D120" s="121">
        <v>8</v>
      </c>
      <c r="E120" s="117">
        <v>1</v>
      </c>
      <c r="F120" s="125">
        <v>2</v>
      </c>
      <c r="G120" s="125">
        <v>2</v>
      </c>
    </row>
    <row r="121" spans="1:7">
      <c r="A121" s="117" t="s">
        <v>382</v>
      </c>
      <c r="B121" s="124">
        <v>31223</v>
      </c>
      <c r="C121" s="121"/>
      <c r="D121" s="121">
        <v>8</v>
      </c>
      <c r="E121" s="117">
        <v>1</v>
      </c>
      <c r="F121" s="125">
        <v>2</v>
      </c>
      <c r="G121" s="125">
        <v>2</v>
      </c>
    </row>
    <row r="122" spans="1:7">
      <c r="A122" s="117" t="s">
        <v>382</v>
      </c>
      <c r="B122" s="124">
        <v>31224</v>
      </c>
      <c r="C122" s="121"/>
      <c r="D122" s="121">
        <v>8</v>
      </c>
      <c r="E122" s="117">
        <v>1</v>
      </c>
      <c r="F122" s="125">
        <v>2</v>
      </c>
      <c r="G122" s="125">
        <v>2</v>
      </c>
    </row>
    <row r="123" spans="1:7">
      <c r="A123" s="117" t="s">
        <v>382</v>
      </c>
      <c r="B123" s="124">
        <v>31225</v>
      </c>
      <c r="C123" s="121"/>
      <c r="D123" s="121">
        <v>8</v>
      </c>
      <c r="E123" s="117">
        <v>1</v>
      </c>
      <c r="F123" s="125">
        <v>2</v>
      </c>
      <c r="G123" s="125">
        <v>2</v>
      </c>
    </row>
    <row r="124" spans="1:7">
      <c r="A124" s="117" t="s">
        <v>382</v>
      </c>
      <c r="B124" s="124">
        <v>31226</v>
      </c>
      <c r="C124" s="121"/>
      <c r="D124" s="121">
        <v>8</v>
      </c>
      <c r="E124" s="117">
        <v>1</v>
      </c>
      <c r="F124" s="125">
        <v>2</v>
      </c>
      <c r="G124" s="125">
        <v>2</v>
      </c>
    </row>
    <row r="125" spans="1:7">
      <c r="A125" s="117" t="s">
        <v>382</v>
      </c>
      <c r="B125" s="124">
        <v>31227</v>
      </c>
      <c r="C125" s="121"/>
      <c r="D125" s="121">
        <v>8</v>
      </c>
      <c r="E125" s="117">
        <v>1</v>
      </c>
      <c r="F125" s="125">
        <v>2</v>
      </c>
      <c r="G125" s="125">
        <v>2</v>
      </c>
    </row>
    <row r="126" spans="1:7">
      <c r="A126" s="117" t="s">
        <v>382</v>
      </c>
      <c r="B126" s="124">
        <v>31228</v>
      </c>
      <c r="C126" s="121"/>
      <c r="D126" s="121">
        <v>8</v>
      </c>
      <c r="E126" s="117">
        <v>1</v>
      </c>
      <c r="F126" s="125">
        <v>2</v>
      </c>
      <c r="G126" s="125">
        <v>2</v>
      </c>
    </row>
    <row r="127" spans="1:7">
      <c r="A127" s="117" t="s">
        <v>382</v>
      </c>
      <c r="B127" s="124">
        <v>31229</v>
      </c>
      <c r="C127" s="121"/>
      <c r="D127" s="121">
        <v>8</v>
      </c>
      <c r="E127" s="117">
        <v>1</v>
      </c>
      <c r="F127" s="125">
        <v>2</v>
      </c>
      <c r="G127" s="125">
        <v>2</v>
      </c>
    </row>
    <row r="128" spans="1:7">
      <c r="A128" s="117" t="s">
        <v>382</v>
      </c>
      <c r="B128" s="124">
        <v>31230</v>
      </c>
      <c r="C128" s="121"/>
      <c r="D128" s="121">
        <v>8</v>
      </c>
      <c r="E128" s="117">
        <v>1</v>
      </c>
      <c r="F128" s="125">
        <v>2</v>
      </c>
      <c r="G128" s="125">
        <v>2</v>
      </c>
    </row>
    <row r="129" spans="1:7">
      <c r="A129" s="117" t="s">
        <v>382</v>
      </c>
      <c r="B129" s="124">
        <v>31231</v>
      </c>
      <c r="C129" s="121"/>
      <c r="D129" s="121">
        <v>8</v>
      </c>
      <c r="E129" s="117">
        <v>1</v>
      </c>
      <c r="F129" s="125">
        <v>2</v>
      </c>
      <c r="G129" s="125">
        <v>2</v>
      </c>
    </row>
    <row r="130" spans="1:7">
      <c r="A130" s="117" t="s">
        <v>382</v>
      </c>
      <c r="B130" s="124">
        <v>31232</v>
      </c>
      <c r="C130" s="121"/>
      <c r="D130" s="121">
        <v>8</v>
      </c>
      <c r="E130" s="117">
        <v>1</v>
      </c>
      <c r="F130" s="125">
        <v>2</v>
      </c>
      <c r="G130" s="125">
        <v>2</v>
      </c>
    </row>
    <row r="131" spans="1:7">
      <c r="A131" s="117" t="s">
        <v>382</v>
      </c>
      <c r="B131" s="124">
        <v>31233</v>
      </c>
      <c r="C131" s="121"/>
      <c r="D131" s="121">
        <v>8</v>
      </c>
      <c r="E131" s="117">
        <v>1</v>
      </c>
      <c r="F131" s="125">
        <v>2</v>
      </c>
      <c r="G131" s="125">
        <v>2</v>
      </c>
    </row>
    <row r="132" spans="1:7">
      <c r="A132" s="117" t="s">
        <v>382</v>
      </c>
      <c r="B132" s="124">
        <v>31234</v>
      </c>
      <c r="C132" s="121"/>
      <c r="D132" s="121">
        <v>8</v>
      </c>
      <c r="E132" s="117">
        <v>1</v>
      </c>
      <c r="F132" s="125">
        <v>2</v>
      </c>
      <c r="G132" s="125">
        <v>2</v>
      </c>
    </row>
    <row r="133" spans="1:7">
      <c r="A133" s="117" t="s">
        <v>382</v>
      </c>
      <c r="B133" s="124">
        <v>31235</v>
      </c>
      <c r="C133" s="121"/>
      <c r="D133" s="121">
        <v>8</v>
      </c>
      <c r="E133" s="117">
        <v>1</v>
      </c>
      <c r="F133" s="125">
        <v>2</v>
      </c>
      <c r="G133" s="125">
        <v>2</v>
      </c>
    </row>
    <row r="134" spans="1:7">
      <c r="A134" s="117" t="s">
        <v>382</v>
      </c>
      <c r="B134" s="124">
        <v>31236</v>
      </c>
      <c r="C134" s="121"/>
      <c r="D134" s="121">
        <v>8</v>
      </c>
      <c r="E134" s="117">
        <v>1</v>
      </c>
      <c r="F134" s="125">
        <v>2</v>
      </c>
      <c r="G134" s="125">
        <v>2</v>
      </c>
    </row>
    <row r="135" spans="1:7">
      <c r="A135" s="117" t="s">
        <v>382</v>
      </c>
      <c r="B135" s="124">
        <v>31237</v>
      </c>
      <c r="C135" s="121"/>
      <c r="D135" s="121">
        <v>8</v>
      </c>
      <c r="E135" s="117">
        <v>1</v>
      </c>
      <c r="F135" s="125">
        <v>2</v>
      </c>
      <c r="G135" s="125">
        <v>2</v>
      </c>
    </row>
    <row r="136" spans="1:7">
      <c r="A136" s="117" t="s">
        <v>382</v>
      </c>
      <c r="B136" s="124">
        <v>31238</v>
      </c>
      <c r="C136" s="121"/>
      <c r="D136" s="121">
        <v>8</v>
      </c>
      <c r="E136" s="117">
        <v>1</v>
      </c>
      <c r="F136" s="125">
        <v>2</v>
      </c>
      <c r="G136" s="125">
        <v>2</v>
      </c>
    </row>
    <row r="137" spans="1:7">
      <c r="A137" s="117" t="s">
        <v>382</v>
      </c>
      <c r="B137" s="124">
        <v>31239</v>
      </c>
      <c r="C137" s="121"/>
      <c r="D137" s="121">
        <v>8</v>
      </c>
      <c r="E137" s="117">
        <v>1</v>
      </c>
      <c r="F137" s="125">
        <v>2</v>
      </c>
      <c r="G137" s="125">
        <v>2</v>
      </c>
    </row>
    <row r="138" spans="1:7">
      <c r="A138" s="117" t="s">
        <v>382</v>
      </c>
      <c r="B138" s="124">
        <v>31240</v>
      </c>
      <c r="C138" s="121"/>
      <c r="D138" s="121">
        <v>8</v>
      </c>
      <c r="E138" s="117">
        <v>1</v>
      </c>
      <c r="F138" s="125">
        <v>2</v>
      </c>
      <c r="G138" s="125">
        <v>2</v>
      </c>
    </row>
    <row r="139" spans="1:7">
      <c r="A139" s="117" t="s">
        <v>382</v>
      </c>
      <c r="B139" s="124">
        <v>31241</v>
      </c>
      <c r="C139" s="121"/>
      <c r="D139" s="121">
        <v>8</v>
      </c>
      <c r="E139" s="117">
        <v>1</v>
      </c>
      <c r="F139" s="125">
        <v>2</v>
      </c>
      <c r="G139" s="125">
        <v>2</v>
      </c>
    </row>
    <row r="140" spans="1:7">
      <c r="A140" s="117" t="s">
        <v>382</v>
      </c>
      <c r="B140" s="124">
        <v>31242</v>
      </c>
      <c r="C140" s="121"/>
      <c r="D140" s="121">
        <v>8</v>
      </c>
      <c r="E140" s="117">
        <v>1</v>
      </c>
      <c r="F140" s="125">
        <v>2</v>
      </c>
      <c r="G140" s="125">
        <v>2</v>
      </c>
    </row>
    <row r="141" spans="1:7">
      <c r="A141" s="117" t="s">
        <v>382</v>
      </c>
      <c r="B141" s="124">
        <v>31246</v>
      </c>
      <c r="C141" s="121"/>
      <c r="D141" s="121">
        <v>8</v>
      </c>
      <c r="E141" s="117">
        <v>1</v>
      </c>
      <c r="F141" s="125">
        <v>2</v>
      </c>
      <c r="G141" s="125">
        <v>2</v>
      </c>
    </row>
    <row r="142" spans="1:7">
      <c r="A142" s="117" t="s">
        <v>382</v>
      </c>
      <c r="B142" s="124">
        <v>31247</v>
      </c>
      <c r="C142" s="121"/>
      <c r="D142" s="121">
        <v>8</v>
      </c>
      <c r="E142" s="117">
        <v>1</v>
      </c>
      <c r="F142" s="125">
        <v>2</v>
      </c>
      <c r="G142" s="125">
        <v>2</v>
      </c>
    </row>
    <row r="143" spans="1:7">
      <c r="A143" s="117" t="s">
        <v>382</v>
      </c>
      <c r="B143" s="124">
        <v>31248</v>
      </c>
      <c r="C143" s="121"/>
      <c r="D143" s="121">
        <v>8</v>
      </c>
      <c r="E143" s="117">
        <v>1</v>
      </c>
      <c r="F143" s="125">
        <v>2</v>
      </c>
      <c r="G143" s="125">
        <v>2</v>
      </c>
    </row>
    <row r="144" spans="1:7">
      <c r="A144" s="117" t="s">
        <v>382</v>
      </c>
      <c r="B144" s="124">
        <v>31249</v>
      </c>
      <c r="C144" s="121"/>
      <c r="D144" s="121">
        <v>8</v>
      </c>
      <c r="E144" s="117">
        <v>1</v>
      </c>
      <c r="F144" s="125">
        <v>2</v>
      </c>
      <c r="G144" s="125">
        <v>2</v>
      </c>
    </row>
    <row r="145" spans="1:7">
      <c r="A145" s="117" t="s">
        <v>382</v>
      </c>
      <c r="B145" s="124">
        <v>31250</v>
      </c>
      <c r="C145" s="121"/>
      <c r="D145" s="121">
        <v>8</v>
      </c>
      <c r="E145" s="117">
        <v>1</v>
      </c>
      <c r="F145" s="125">
        <v>2</v>
      </c>
      <c r="G145" s="125">
        <v>2</v>
      </c>
    </row>
    <row r="146" spans="1:7">
      <c r="A146" s="117" t="s">
        <v>382</v>
      </c>
      <c r="B146" s="124">
        <v>31261</v>
      </c>
      <c r="C146" s="121"/>
      <c r="D146" s="121">
        <v>8</v>
      </c>
      <c r="E146" s="117">
        <v>1</v>
      </c>
      <c r="F146" s="125">
        <v>2</v>
      </c>
      <c r="G146" s="125">
        <v>2</v>
      </c>
    </row>
    <row r="147" spans="1:7">
      <c r="A147" s="117" t="s">
        <v>382</v>
      </c>
      <c r="B147" s="124">
        <v>31361</v>
      </c>
      <c r="C147" s="121"/>
      <c r="D147" s="121">
        <v>8</v>
      </c>
      <c r="E147" s="117">
        <v>1</v>
      </c>
      <c r="F147" s="125">
        <v>2</v>
      </c>
      <c r="G147" s="125">
        <v>2</v>
      </c>
    </row>
    <row r="148" spans="1:7">
      <c r="A148" s="117" t="s">
        <v>382</v>
      </c>
      <c r="B148" s="124">
        <v>31362</v>
      </c>
      <c r="C148" s="121"/>
      <c r="D148" s="121">
        <v>8</v>
      </c>
      <c r="E148" s="117">
        <v>1</v>
      </c>
      <c r="F148" s="125">
        <v>2</v>
      </c>
      <c r="G148" s="125">
        <v>2</v>
      </c>
    </row>
    <row r="149" spans="1:7">
      <c r="A149" s="117" t="s">
        <v>382</v>
      </c>
      <c r="B149" s="124">
        <v>31363</v>
      </c>
      <c r="C149" s="121"/>
      <c r="D149" s="121">
        <v>8</v>
      </c>
      <c r="E149" s="117">
        <v>1</v>
      </c>
      <c r="F149" s="125">
        <v>2</v>
      </c>
      <c r="G149" s="125">
        <v>2</v>
      </c>
    </row>
    <row r="150" spans="1:7">
      <c r="A150" s="117" t="s">
        <v>382</v>
      </c>
      <c r="B150" s="124">
        <v>31364</v>
      </c>
      <c r="C150" s="121"/>
      <c r="D150" s="121">
        <v>8</v>
      </c>
      <c r="E150" s="117">
        <v>1</v>
      </c>
      <c r="F150" s="125">
        <v>2</v>
      </c>
      <c r="G150" s="125">
        <v>2</v>
      </c>
    </row>
    <row r="151" spans="1:7">
      <c r="A151" s="117" t="s">
        <v>382</v>
      </c>
      <c r="B151" s="124">
        <v>31365</v>
      </c>
      <c r="C151" s="121"/>
      <c r="D151" s="121">
        <v>8</v>
      </c>
      <c r="E151" s="117">
        <v>1</v>
      </c>
      <c r="F151" s="125">
        <v>2</v>
      </c>
      <c r="G151" s="125">
        <v>2</v>
      </c>
    </row>
    <row r="152" spans="1:7">
      <c r="A152" s="117" t="s">
        <v>382</v>
      </c>
      <c r="B152" s="124">
        <v>31366</v>
      </c>
      <c r="C152" s="121"/>
      <c r="D152" s="121">
        <v>8</v>
      </c>
      <c r="E152" s="117">
        <v>1</v>
      </c>
      <c r="F152" s="125">
        <v>2</v>
      </c>
      <c r="G152" s="125">
        <v>2</v>
      </c>
    </row>
    <row r="153" spans="1:7">
      <c r="A153" s="117" t="s">
        <v>382</v>
      </c>
      <c r="B153" s="124">
        <v>31367</v>
      </c>
      <c r="C153" s="121"/>
      <c r="D153" s="121">
        <v>8</v>
      </c>
      <c r="E153" s="117">
        <v>1</v>
      </c>
      <c r="F153" s="125">
        <v>2</v>
      </c>
      <c r="G153" s="125">
        <v>2</v>
      </c>
    </row>
    <row r="154" spans="1:7">
      <c r="A154" s="117" t="s">
        <v>382</v>
      </c>
      <c r="B154" s="124">
        <v>31368</v>
      </c>
      <c r="C154" s="121"/>
      <c r="D154" s="121">
        <v>8</v>
      </c>
      <c r="E154" s="117">
        <v>1</v>
      </c>
      <c r="F154" s="125">
        <v>2</v>
      </c>
      <c r="G154" s="125">
        <v>2</v>
      </c>
    </row>
    <row r="155" spans="1:7">
      <c r="A155" s="117" t="s">
        <v>382</v>
      </c>
      <c r="B155" s="124">
        <v>31369</v>
      </c>
      <c r="C155" s="121"/>
      <c r="D155" s="121">
        <v>8</v>
      </c>
      <c r="E155" s="117">
        <v>1</v>
      </c>
      <c r="F155" s="125">
        <v>2</v>
      </c>
      <c r="G155" s="125">
        <v>2</v>
      </c>
    </row>
    <row r="156" spans="1:7">
      <c r="A156" s="117" t="s">
        <v>382</v>
      </c>
      <c r="B156" s="124">
        <v>31381</v>
      </c>
      <c r="C156" s="121"/>
      <c r="D156" s="121">
        <v>8</v>
      </c>
      <c r="E156" s="117">
        <v>1</v>
      </c>
      <c r="F156" s="125">
        <v>2</v>
      </c>
      <c r="G156" s="125">
        <v>2</v>
      </c>
    </row>
    <row r="157" spans="1:7">
      <c r="A157" s="117" t="s">
        <v>382</v>
      </c>
      <c r="B157" s="124">
        <v>31382</v>
      </c>
      <c r="C157" s="121"/>
      <c r="D157" s="121">
        <v>8</v>
      </c>
      <c r="E157" s="117">
        <v>1</v>
      </c>
      <c r="F157" s="125">
        <v>2</v>
      </c>
      <c r="G157" s="125">
        <v>2</v>
      </c>
    </row>
    <row r="158" spans="1:7">
      <c r="A158" s="117" t="s">
        <v>382</v>
      </c>
      <c r="B158" s="124">
        <v>31383</v>
      </c>
      <c r="C158" s="121"/>
      <c r="D158" s="121">
        <v>8</v>
      </c>
      <c r="E158" s="117">
        <v>1</v>
      </c>
      <c r="F158" s="125">
        <v>2</v>
      </c>
      <c r="G158" s="125">
        <v>2</v>
      </c>
    </row>
    <row r="159" spans="1:7">
      <c r="A159" s="117" t="s">
        <v>382</v>
      </c>
      <c r="B159" s="124">
        <v>31385</v>
      </c>
      <c r="C159" s="121"/>
      <c r="D159" s="121">
        <v>8</v>
      </c>
      <c r="E159" s="117">
        <v>1</v>
      </c>
      <c r="F159" s="125">
        <v>2</v>
      </c>
      <c r="G159" s="125">
        <v>2</v>
      </c>
    </row>
    <row r="160" spans="1:7">
      <c r="A160" s="117" t="s">
        <v>382</v>
      </c>
      <c r="B160" s="124">
        <v>31386</v>
      </c>
      <c r="C160" s="121"/>
      <c r="D160" s="121">
        <v>8</v>
      </c>
      <c r="E160" s="117">
        <v>1</v>
      </c>
      <c r="F160" s="125">
        <v>2</v>
      </c>
      <c r="G160" s="125">
        <v>2</v>
      </c>
    </row>
    <row r="161" spans="1:7">
      <c r="A161" s="117" t="s">
        <v>382</v>
      </c>
      <c r="B161" s="124">
        <v>31387</v>
      </c>
      <c r="C161" s="121"/>
      <c r="D161" s="121">
        <v>8</v>
      </c>
      <c r="E161" s="117">
        <v>1</v>
      </c>
      <c r="F161" s="125">
        <v>2</v>
      </c>
      <c r="G161" s="125">
        <v>2</v>
      </c>
    </row>
    <row r="162" spans="1:7">
      <c r="A162" s="117" t="s">
        <v>382</v>
      </c>
      <c r="B162" s="124">
        <v>31388</v>
      </c>
      <c r="C162" s="121"/>
      <c r="D162" s="121">
        <v>8</v>
      </c>
      <c r="E162" s="117">
        <v>1</v>
      </c>
      <c r="F162" s="125">
        <v>2</v>
      </c>
      <c r="G162" s="125">
        <v>2</v>
      </c>
    </row>
    <row r="163" spans="1:7">
      <c r="A163" s="117" t="s">
        <v>382</v>
      </c>
      <c r="B163" s="124">
        <v>31389</v>
      </c>
      <c r="C163" s="121"/>
      <c r="D163" s="121">
        <v>8</v>
      </c>
      <c r="E163" s="117">
        <v>1</v>
      </c>
      <c r="F163" s="125">
        <v>2</v>
      </c>
      <c r="G163" s="125">
        <v>2</v>
      </c>
    </row>
    <row r="164" spans="1:7">
      <c r="A164" s="117" t="s">
        <v>382</v>
      </c>
      <c r="B164" s="124">
        <v>31390</v>
      </c>
      <c r="C164" s="121"/>
      <c r="D164" s="121">
        <v>8</v>
      </c>
      <c r="E164" s="117">
        <v>1</v>
      </c>
      <c r="F164" s="125">
        <v>2</v>
      </c>
      <c r="G164" s="12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55"/>
  <sheetViews>
    <sheetView workbookViewId="0">
      <selection activeCell="I3" sqref="I3"/>
    </sheetView>
  </sheetViews>
  <sheetFormatPr defaultColWidth="8.85546875" defaultRowHeight="12.75"/>
  <cols>
    <col min="1" max="1" width="15.42578125" bestFit="1" customWidth="1"/>
    <col min="2" max="2" width="19.7109375" bestFit="1" customWidth="1"/>
    <col min="3" max="3" width="16.42578125" customWidth="1"/>
    <col min="4" max="5" width="19.140625" customWidth="1"/>
    <col min="6" max="6" width="20.140625" customWidth="1"/>
  </cols>
  <sheetData>
    <row r="1" spans="1:6" ht="62.25" customHeight="1">
      <c r="A1" s="118" t="s">
        <v>361</v>
      </c>
      <c r="B1" s="118" t="s">
        <v>362</v>
      </c>
      <c r="C1" s="119" t="s">
        <v>396</v>
      </c>
      <c r="D1" s="119" t="s">
        <v>395</v>
      </c>
      <c r="E1" s="119" t="s">
        <v>397</v>
      </c>
      <c r="F1" s="119" t="s">
        <v>394</v>
      </c>
    </row>
    <row r="2" spans="1:6">
      <c r="A2" s="117" t="s">
        <v>382</v>
      </c>
      <c r="B2" s="117">
        <v>31243</v>
      </c>
      <c r="C2" s="117">
        <v>8</v>
      </c>
      <c r="D2" s="117">
        <v>1</v>
      </c>
      <c r="E2" s="117">
        <v>2</v>
      </c>
      <c r="F2" s="125">
        <v>2</v>
      </c>
    </row>
    <row r="3" spans="1:6">
      <c r="A3" s="117" t="s">
        <v>382</v>
      </c>
      <c r="B3" s="117">
        <v>31244</v>
      </c>
      <c r="C3" s="117">
        <v>8</v>
      </c>
      <c r="D3" s="117">
        <v>1</v>
      </c>
      <c r="E3" s="117">
        <v>2</v>
      </c>
      <c r="F3" s="125">
        <v>2</v>
      </c>
    </row>
    <row r="4" spans="1:6">
      <c r="A4" s="117" t="s">
        <v>382</v>
      </c>
      <c r="B4" s="117">
        <v>31245</v>
      </c>
      <c r="C4" s="117">
        <v>8</v>
      </c>
      <c r="D4" s="117">
        <v>1</v>
      </c>
      <c r="E4" s="117">
        <v>2</v>
      </c>
      <c r="F4" s="125">
        <v>2</v>
      </c>
    </row>
    <row r="5" spans="1:6">
      <c r="A5" s="117" t="s">
        <v>382</v>
      </c>
      <c r="B5" s="117">
        <v>31251</v>
      </c>
      <c r="C5" s="117">
        <v>8</v>
      </c>
      <c r="D5" s="117">
        <v>1</v>
      </c>
      <c r="E5" s="117">
        <v>2</v>
      </c>
      <c r="F5" s="125">
        <v>2</v>
      </c>
    </row>
    <row r="6" spans="1:6">
      <c r="A6" s="117" t="s">
        <v>382</v>
      </c>
      <c r="B6" s="117">
        <v>31252</v>
      </c>
      <c r="C6" s="117">
        <v>8</v>
      </c>
      <c r="D6" s="117">
        <v>1</v>
      </c>
      <c r="E6" s="117">
        <v>2</v>
      </c>
      <c r="F6" s="125">
        <v>2</v>
      </c>
    </row>
    <row r="7" spans="1:6">
      <c r="A7" s="117" t="s">
        <v>382</v>
      </c>
      <c r="B7" s="117">
        <v>31253</v>
      </c>
      <c r="C7" s="117">
        <v>8</v>
      </c>
      <c r="D7" s="117">
        <v>1</v>
      </c>
      <c r="E7" s="117">
        <v>2</v>
      </c>
      <c r="F7" s="125">
        <v>2</v>
      </c>
    </row>
    <row r="8" spans="1:6">
      <c r="A8" s="117" t="s">
        <v>382</v>
      </c>
      <c r="B8" s="117">
        <v>31254</v>
      </c>
      <c r="C8" s="117">
        <v>8</v>
      </c>
      <c r="D8" s="117">
        <v>1</v>
      </c>
      <c r="E8" s="117">
        <v>2</v>
      </c>
      <c r="F8" s="125">
        <v>2</v>
      </c>
    </row>
    <row r="9" spans="1:6">
      <c r="A9" s="117" t="s">
        <v>382</v>
      </c>
      <c r="B9" s="117">
        <v>31255</v>
      </c>
      <c r="C9" s="117">
        <v>8</v>
      </c>
      <c r="D9" s="117">
        <v>1</v>
      </c>
      <c r="E9" s="117">
        <v>2</v>
      </c>
      <c r="F9" s="125">
        <v>2</v>
      </c>
    </row>
    <row r="10" spans="1:6">
      <c r="A10" s="117" t="s">
        <v>382</v>
      </c>
      <c r="B10" s="117">
        <v>31256</v>
      </c>
      <c r="C10" s="117">
        <v>8</v>
      </c>
      <c r="D10" s="117">
        <v>1</v>
      </c>
      <c r="E10" s="117">
        <v>2</v>
      </c>
      <c r="F10" s="125">
        <v>2</v>
      </c>
    </row>
    <row r="11" spans="1:6">
      <c r="A11" s="117" t="s">
        <v>382</v>
      </c>
      <c r="B11" s="117">
        <v>31257</v>
      </c>
      <c r="C11" s="117">
        <v>8</v>
      </c>
      <c r="D11" s="117">
        <v>1</v>
      </c>
      <c r="E11" s="117">
        <v>2</v>
      </c>
      <c r="F11" s="125">
        <v>2</v>
      </c>
    </row>
    <row r="12" spans="1:6">
      <c r="A12" s="117" t="s">
        <v>382</v>
      </c>
      <c r="B12" s="117">
        <v>31258</v>
      </c>
      <c r="C12" s="117">
        <v>8</v>
      </c>
      <c r="D12" s="117">
        <v>1</v>
      </c>
      <c r="E12" s="117">
        <v>2</v>
      </c>
      <c r="F12" s="125">
        <v>2</v>
      </c>
    </row>
    <row r="13" spans="1:6">
      <c r="A13" s="117" t="s">
        <v>382</v>
      </c>
      <c r="B13" s="117">
        <v>31259</v>
      </c>
      <c r="C13" s="117">
        <v>8</v>
      </c>
      <c r="D13" s="117">
        <v>1</v>
      </c>
      <c r="E13" s="117">
        <v>2</v>
      </c>
      <c r="F13" s="125">
        <v>2</v>
      </c>
    </row>
    <row r="14" spans="1:6">
      <c r="A14" s="117" t="s">
        <v>382</v>
      </c>
      <c r="B14" s="117">
        <v>31260</v>
      </c>
      <c r="C14" s="117">
        <v>8</v>
      </c>
      <c r="D14" s="117">
        <v>1</v>
      </c>
      <c r="E14" s="117">
        <v>2</v>
      </c>
      <c r="F14" s="125">
        <v>2</v>
      </c>
    </row>
    <row r="15" spans="1:6">
      <c r="A15" s="117" t="s">
        <v>382</v>
      </c>
      <c r="B15" s="117">
        <v>31263</v>
      </c>
      <c r="C15" s="117">
        <v>8</v>
      </c>
      <c r="D15" s="117">
        <v>1</v>
      </c>
      <c r="E15" s="117">
        <v>2</v>
      </c>
      <c r="F15" s="125">
        <v>2</v>
      </c>
    </row>
    <row r="16" spans="1:6">
      <c r="A16" s="117" t="s">
        <v>382</v>
      </c>
      <c r="B16" s="117">
        <v>31264</v>
      </c>
      <c r="C16" s="117">
        <v>8</v>
      </c>
      <c r="D16" s="117">
        <v>1</v>
      </c>
      <c r="E16" s="117">
        <v>2</v>
      </c>
      <c r="F16" s="125">
        <v>2</v>
      </c>
    </row>
    <row r="17" spans="1:6">
      <c r="A17" s="117" t="s">
        <v>382</v>
      </c>
      <c r="B17" s="117">
        <v>31265</v>
      </c>
      <c r="C17" s="117">
        <v>8</v>
      </c>
      <c r="D17" s="117">
        <v>1</v>
      </c>
      <c r="E17" s="117">
        <v>2</v>
      </c>
      <c r="F17" s="125">
        <v>2</v>
      </c>
    </row>
    <row r="18" spans="1:6">
      <c r="A18" s="117" t="s">
        <v>382</v>
      </c>
      <c r="B18" s="117">
        <v>31266</v>
      </c>
      <c r="C18" s="117">
        <v>8</v>
      </c>
      <c r="D18" s="117">
        <v>1</v>
      </c>
      <c r="E18" s="117">
        <v>2</v>
      </c>
      <c r="F18" s="125">
        <v>2</v>
      </c>
    </row>
    <row r="19" spans="1:6">
      <c r="A19" s="117" t="s">
        <v>382</v>
      </c>
      <c r="B19" s="117">
        <v>31267</v>
      </c>
      <c r="C19" s="117">
        <v>8</v>
      </c>
      <c r="D19" s="117">
        <v>1</v>
      </c>
      <c r="E19" s="117">
        <v>2</v>
      </c>
      <c r="F19" s="125">
        <v>2</v>
      </c>
    </row>
    <row r="20" spans="1:6">
      <c r="A20" s="117" t="s">
        <v>382</v>
      </c>
      <c r="B20" s="117">
        <v>31268</v>
      </c>
      <c r="C20" s="117">
        <v>8</v>
      </c>
      <c r="D20" s="117">
        <v>1</v>
      </c>
      <c r="E20" s="117">
        <v>2</v>
      </c>
      <c r="F20" s="125">
        <v>2</v>
      </c>
    </row>
    <row r="21" spans="1:6">
      <c r="A21" s="117" t="s">
        <v>382</v>
      </c>
      <c r="B21" s="117">
        <v>31269</v>
      </c>
      <c r="C21" s="117">
        <v>8</v>
      </c>
      <c r="D21" s="117">
        <v>1</v>
      </c>
      <c r="E21" s="117">
        <v>2</v>
      </c>
      <c r="F21" s="125">
        <v>2</v>
      </c>
    </row>
    <row r="22" spans="1:6">
      <c r="A22" s="117" t="s">
        <v>382</v>
      </c>
      <c r="B22" s="117">
        <v>31270</v>
      </c>
      <c r="C22" s="117">
        <v>8</v>
      </c>
      <c r="D22" s="117">
        <v>1</v>
      </c>
      <c r="E22" s="117">
        <v>2</v>
      </c>
      <c r="F22" s="125">
        <v>2</v>
      </c>
    </row>
    <row r="23" spans="1:6">
      <c r="A23" s="117" t="s">
        <v>382</v>
      </c>
      <c r="B23" s="117">
        <v>31271</v>
      </c>
      <c r="C23" s="117">
        <v>8</v>
      </c>
      <c r="D23" s="117">
        <v>1</v>
      </c>
      <c r="E23" s="117">
        <v>2</v>
      </c>
      <c r="F23" s="125">
        <v>2</v>
      </c>
    </row>
    <row r="24" spans="1:6">
      <c r="A24" s="117" t="s">
        <v>382</v>
      </c>
      <c r="B24" s="117">
        <v>31272</v>
      </c>
      <c r="C24" s="117">
        <v>8</v>
      </c>
      <c r="D24" s="117">
        <v>1</v>
      </c>
      <c r="E24" s="117">
        <v>2</v>
      </c>
      <c r="F24" s="125">
        <v>2</v>
      </c>
    </row>
    <row r="25" spans="1:6">
      <c r="A25" s="117" t="s">
        <v>382</v>
      </c>
      <c r="B25" s="117">
        <v>31273</v>
      </c>
      <c r="C25" s="117">
        <v>8</v>
      </c>
      <c r="D25" s="117">
        <v>1</v>
      </c>
      <c r="E25" s="117">
        <v>2</v>
      </c>
      <c r="F25" s="125">
        <v>2</v>
      </c>
    </row>
    <row r="26" spans="1:6">
      <c r="A26" s="117" t="s">
        <v>382</v>
      </c>
      <c r="B26" s="117">
        <v>31274</v>
      </c>
      <c r="C26" s="117">
        <v>8</v>
      </c>
      <c r="D26" s="117">
        <v>1</v>
      </c>
      <c r="E26" s="117">
        <v>2</v>
      </c>
      <c r="F26" s="125">
        <v>2</v>
      </c>
    </row>
    <row r="27" spans="1:6">
      <c r="A27" s="117" t="s">
        <v>382</v>
      </c>
      <c r="B27" s="117">
        <v>31275</v>
      </c>
      <c r="C27" s="117">
        <v>8</v>
      </c>
      <c r="D27" s="117">
        <v>1</v>
      </c>
      <c r="E27" s="117">
        <v>2</v>
      </c>
      <c r="F27" s="125">
        <v>2</v>
      </c>
    </row>
    <row r="28" spans="1:6">
      <c r="A28" s="117" t="s">
        <v>382</v>
      </c>
      <c r="B28" s="117">
        <v>31276</v>
      </c>
      <c r="C28" s="117">
        <v>8</v>
      </c>
      <c r="D28" s="117">
        <v>1</v>
      </c>
      <c r="E28" s="117">
        <v>2</v>
      </c>
      <c r="F28" s="125">
        <v>2</v>
      </c>
    </row>
    <row r="29" spans="1:6">
      <c r="A29" s="117" t="s">
        <v>382</v>
      </c>
      <c r="B29" s="117">
        <v>31277</v>
      </c>
      <c r="C29" s="117">
        <v>8</v>
      </c>
      <c r="D29" s="117">
        <v>1</v>
      </c>
      <c r="E29" s="117">
        <v>2</v>
      </c>
      <c r="F29" s="125">
        <v>2</v>
      </c>
    </row>
    <row r="30" spans="1:6">
      <c r="A30" s="117" t="s">
        <v>382</v>
      </c>
      <c r="B30" s="117">
        <v>31278</v>
      </c>
      <c r="C30" s="117">
        <v>8</v>
      </c>
      <c r="D30" s="117">
        <v>1</v>
      </c>
      <c r="E30" s="117">
        <v>2</v>
      </c>
      <c r="F30" s="125">
        <v>2</v>
      </c>
    </row>
    <row r="31" spans="1:6">
      <c r="A31" s="117" t="s">
        <v>382</v>
      </c>
      <c r="B31" s="117">
        <v>31279</v>
      </c>
      <c r="C31" s="117">
        <v>8</v>
      </c>
      <c r="D31" s="117">
        <v>1</v>
      </c>
      <c r="E31" s="117">
        <v>2</v>
      </c>
      <c r="F31" s="125">
        <v>2</v>
      </c>
    </row>
    <row r="32" spans="1:6">
      <c r="A32" s="117" t="s">
        <v>382</v>
      </c>
      <c r="B32" s="117">
        <v>31280</v>
      </c>
      <c r="C32" s="117">
        <v>8</v>
      </c>
      <c r="D32" s="117">
        <v>1</v>
      </c>
      <c r="E32" s="117">
        <v>2</v>
      </c>
      <c r="F32" s="125">
        <v>2</v>
      </c>
    </row>
    <row r="33" spans="1:6">
      <c r="A33" s="117" t="s">
        <v>382</v>
      </c>
      <c r="B33" s="117">
        <v>31281</v>
      </c>
      <c r="C33" s="117">
        <v>8</v>
      </c>
      <c r="D33" s="117">
        <v>1</v>
      </c>
      <c r="E33" s="117">
        <v>2</v>
      </c>
      <c r="F33" s="125">
        <v>2</v>
      </c>
    </row>
    <row r="34" spans="1:6">
      <c r="A34" s="117" t="s">
        <v>382</v>
      </c>
      <c r="B34" s="117">
        <v>31282</v>
      </c>
      <c r="C34" s="117">
        <v>8</v>
      </c>
      <c r="D34" s="117">
        <v>1</v>
      </c>
      <c r="E34" s="117">
        <v>2</v>
      </c>
      <c r="F34" s="125">
        <v>2</v>
      </c>
    </row>
    <row r="35" spans="1:6">
      <c r="A35" s="117" t="s">
        <v>382</v>
      </c>
      <c r="B35" s="117">
        <v>31283</v>
      </c>
      <c r="C35" s="117">
        <v>8</v>
      </c>
      <c r="D35" s="117">
        <v>1</v>
      </c>
      <c r="E35" s="117">
        <v>2</v>
      </c>
      <c r="F35" s="125">
        <v>2</v>
      </c>
    </row>
    <row r="36" spans="1:6">
      <c r="A36" s="117" t="s">
        <v>382</v>
      </c>
      <c r="B36" s="117">
        <v>31284</v>
      </c>
      <c r="C36" s="117">
        <v>8</v>
      </c>
      <c r="D36" s="117">
        <v>1</v>
      </c>
      <c r="E36" s="117">
        <v>2</v>
      </c>
      <c r="F36" s="125">
        <v>2</v>
      </c>
    </row>
    <row r="37" spans="1:6">
      <c r="A37" s="117" t="s">
        <v>382</v>
      </c>
      <c r="B37" s="117">
        <v>31285</v>
      </c>
      <c r="C37" s="117">
        <v>8</v>
      </c>
      <c r="D37" s="117">
        <v>1</v>
      </c>
      <c r="E37" s="117">
        <v>2</v>
      </c>
      <c r="F37" s="125">
        <v>2</v>
      </c>
    </row>
    <row r="38" spans="1:6">
      <c r="A38" s="117" t="s">
        <v>382</v>
      </c>
      <c r="B38" s="117">
        <v>31286</v>
      </c>
      <c r="C38" s="117">
        <v>8</v>
      </c>
      <c r="D38" s="117">
        <v>1</v>
      </c>
      <c r="E38" s="117">
        <v>2</v>
      </c>
      <c r="F38" s="125">
        <v>2</v>
      </c>
    </row>
    <row r="39" spans="1:6">
      <c r="A39" s="117" t="s">
        <v>382</v>
      </c>
      <c r="B39" s="117">
        <v>31287</v>
      </c>
      <c r="C39" s="117">
        <v>8</v>
      </c>
      <c r="D39" s="117">
        <v>1</v>
      </c>
      <c r="E39" s="117">
        <v>2</v>
      </c>
      <c r="F39" s="125">
        <v>2</v>
      </c>
    </row>
    <row r="40" spans="1:6">
      <c r="A40" s="117" t="s">
        <v>382</v>
      </c>
      <c r="B40" s="117">
        <v>31288</v>
      </c>
      <c r="C40" s="117">
        <v>8</v>
      </c>
      <c r="D40" s="117">
        <v>1</v>
      </c>
      <c r="E40" s="117">
        <v>2</v>
      </c>
      <c r="F40" s="125">
        <v>2</v>
      </c>
    </row>
    <row r="41" spans="1:6">
      <c r="A41" s="117" t="s">
        <v>382</v>
      </c>
      <c r="B41" s="117">
        <v>31289</v>
      </c>
      <c r="C41" s="117">
        <v>8</v>
      </c>
      <c r="D41" s="117">
        <v>1</v>
      </c>
      <c r="E41" s="117">
        <v>2</v>
      </c>
      <c r="F41" s="125">
        <v>2</v>
      </c>
    </row>
    <row r="42" spans="1:6">
      <c r="A42" s="117" t="s">
        <v>382</v>
      </c>
      <c r="B42" s="117">
        <v>31290</v>
      </c>
      <c r="C42" s="117">
        <v>8</v>
      </c>
      <c r="D42" s="117">
        <v>1</v>
      </c>
      <c r="E42" s="117">
        <v>2</v>
      </c>
      <c r="F42" s="125">
        <v>2</v>
      </c>
    </row>
    <row r="43" spans="1:6">
      <c r="A43" s="117" t="s">
        <v>382</v>
      </c>
      <c r="B43" s="117">
        <v>31291</v>
      </c>
      <c r="C43" s="117">
        <v>8</v>
      </c>
      <c r="D43" s="117">
        <v>1</v>
      </c>
      <c r="E43" s="117">
        <v>2</v>
      </c>
      <c r="F43" s="125">
        <v>2</v>
      </c>
    </row>
    <row r="44" spans="1:6">
      <c r="A44" s="117" t="s">
        <v>382</v>
      </c>
      <c r="B44" s="117">
        <v>31292</v>
      </c>
      <c r="C44" s="117">
        <v>8</v>
      </c>
      <c r="D44" s="117">
        <v>1</v>
      </c>
      <c r="E44" s="117">
        <v>2</v>
      </c>
      <c r="F44" s="125">
        <v>2</v>
      </c>
    </row>
    <row r="45" spans="1:6">
      <c r="A45" s="117" t="s">
        <v>382</v>
      </c>
      <c r="B45" s="117">
        <v>31293</v>
      </c>
      <c r="C45" s="117">
        <v>8</v>
      </c>
      <c r="D45" s="117">
        <v>1</v>
      </c>
      <c r="E45" s="117">
        <v>2</v>
      </c>
      <c r="F45" s="125">
        <v>2</v>
      </c>
    </row>
    <row r="46" spans="1:6">
      <c r="A46" s="117" t="s">
        <v>382</v>
      </c>
      <c r="B46" s="117">
        <v>31294</v>
      </c>
      <c r="C46" s="117">
        <v>8</v>
      </c>
      <c r="D46" s="117">
        <v>1</v>
      </c>
      <c r="E46" s="117">
        <v>2</v>
      </c>
      <c r="F46" s="125">
        <v>2</v>
      </c>
    </row>
    <row r="47" spans="1:6">
      <c r="A47" s="117" t="s">
        <v>382</v>
      </c>
      <c r="B47" s="117">
        <v>31295</v>
      </c>
      <c r="C47" s="117">
        <v>8</v>
      </c>
      <c r="D47" s="117">
        <v>1</v>
      </c>
      <c r="E47" s="117">
        <v>2</v>
      </c>
      <c r="F47" s="125">
        <v>2</v>
      </c>
    </row>
    <row r="48" spans="1:6">
      <c r="A48" s="117" t="s">
        <v>382</v>
      </c>
      <c r="B48" s="117">
        <v>31296</v>
      </c>
      <c r="C48" s="117">
        <v>8</v>
      </c>
      <c r="D48" s="117">
        <v>1</v>
      </c>
      <c r="E48" s="117">
        <v>2</v>
      </c>
      <c r="F48" s="125">
        <v>2</v>
      </c>
    </row>
    <row r="49" spans="1:6">
      <c r="A49" s="117" t="s">
        <v>382</v>
      </c>
      <c r="B49" s="117">
        <v>31297</v>
      </c>
      <c r="C49" s="117">
        <v>8</v>
      </c>
      <c r="D49" s="117">
        <v>1</v>
      </c>
      <c r="E49" s="117">
        <v>2</v>
      </c>
      <c r="F49" s="125">
        <v>2</v>
      </c>
    </row>
    <row r="50" spans="1:6">
      <c r="A50" s="117" t="s">
        <v>382</v>
      </c>
      <c r="B50" s="117">
        <v>31298</v>
      </c>
      <c r="C50" s="117">
        <v>8</v>
      </c>
      <c r="D50" s="117">
        <v>1</v>
      </c>
      <c r="E50" s="117">
        <v>2</v>
      </c>
      <c r="F50" s="125">
        <v>2</v>
      </c>
    </row>
    <row r="51" spans="1:6">
      <c r="A51" s="117" t="s">
        <v>382</v>
      </c>
      <c r="B51" s="117">
        <v>31299</v>
      </c>
      <c r="C51" s="117">
        <v>8</v>
      </c>
      <c r="D51" s="117">
        <v>1</v>
      </c>
      <c r="E51" s="117">
        <v>2</v>
      </c>
      <c r="F51" s="125">
        <v>2</v>
      </c>
    </row>
    <row r="52" spans="1:6">
      <c r="A52" s="117" t="s">
        <v>382</v>
      </c>
      <c r="B52" s="117">
        <v>31300</v>
      </c>
      <c r="C52" s="117">
        <v>8</v>
      </c>
      <c r="D52" s="117">
        <v>1</v>
      </c>
      <c r="E52" s="117">
        <v>2</v>
      </c>
      <c r="F52" s="125">
        <v>2</v>
      </c>
    </row>
    <row r="53" spans="1:6">
      <c r="A53" s="117" t="s">
        <v>382</v>
      </c>
      <c r="B53" s="117">
        <v>31301</v>
      </c>
      <c r="C53" s="117">
        <v>8</v>
      </c>
      <c r="D53" s="117">
        <v>1</v>
      </c>
      <c r="E53" s="117">
        <v>2</v>
      </c>
      <c r="F53" s="125">
        <v>2</v>
      </c>
    </row>
    <row r="54" spans="1:6">
      <c r="A54" s="117" t="s">
        <v>382</v>
      </c>
      <c r="B54" s="117">
        <v>31302</v>
      </c>
      <c r="C54" s="117">
        <v>8</v>
      </c>
      <c r="D54" s="117">
        <v>1</v>
      </c>
      <c r="E54" s="117">
        <v>2</v>
      </c>
      <c r="F54" s="125">
        <v>2</v>
      </c>
    </row>
    <row r="55" spans="1:6">
      <c r="A55" s="117" t="s">
        <v>382</v>
      </c>
      <c r="B55" s="117">
        <v>31303</v>
      </c>
      <c r="C55" s="117">
        <v>8</v>
      </c>
      <c r="D55" s="117">
        <v>1</v>
      </c>
      <c r="E55" s="117">
        <v>2</v>
      </c>
      <c r="F55" s="125">
        <v>2</v>
      </c>
    </row>
    <row r="56" spans="1:6">
      <c r="A56" s="117" t="s">
        <v>382</v>
      </c>
      <c r="B56" s="117">
        <v>31304</v>
      </c>
      <c r="C56" s="117">
        <v>8</v>
      </c>
      <c r="D56" s="117">
        <v>1</v>
      </c>
      <c r="E56" s="117">
        <v>2</v>
      </c>
      <c r="F56" s="125">
        <v>2</v>
      </c>
    </row>
    <row r="57" spans="1:6">
      <c r="A57" s="117" t="s">
        <v>382</v>
      </c>
      <c r="B57" s="117">
        <v>31305</v>
      </c>
      <c r="C57" s="117">
        <v>8</v>
      </c>
      <c r="D57" s="117">
        <v>1</v>
      </c>
      <c r="E57" s="117">
        <v>2</v>
      </c>
      <c r="F57" s="125">
        <v>2</v>
      </c>
    </row>
    <row r="58" spans="1:6">
      <c r="A58" s="117" t="s">
        <v>382</v>
      </c>
      <c r="B58" s="117">
        <v>31306</v>
      </c>
      <c r="C58" s="117">
        <v>8</v>
      </c>
      <c r="D58" s="117">
        <v>1</v>
      </c>
      <c r="E58" s="117">
        <v>2</v>
      </c>
      <c r="F58" s="125">
        <v>2</v>
      </c>
    </row>
    <row r="59" spans="1:6">
      <c r="A59" s="117" t="s">
        <v>382</v>
      </c>
      <c r="B59" s="117">
        <v>31307</v>
      </c>
      <c r="C59" s="117">
        <v>8</v>
      </c>
      <c r="D59" s="117">
        <v>1</v>
      </c>
      <c r="E59" s="117">
        <v>2</v>
      </c>
      <c r="F59" s="125">
        <v>2</v>
      </c>
    </row>
    <row r="60" spans="1:6">
      <c r="A60" s="117" t="s">
        <v>382</v>
      </c>
      <c r="B60" s="117">
        <v>31308</v>
      </c>
      <c r="C60" s="117">
        <v>8</v>
      </c>
      <c r="D60" s="117">
        <v>1</v>
      </c>
      <c r="E60" s="117">
        <v>2</v>
      </c>
      <c r="F60" s="125">
        <v>2</v>
      </c>
    </row>
    <row r="61" spans="1:6">
      <c r="A61" s="117" t="s">
        <v>382</v>
      </c>
      <c r="B61" s="117">
        <v>31309</v>
      </c>
      <c r="C61" s="117">
        <v>8</v>
      </c>
      <c r="D61" s="117">
        <v>1</v>
      </c>
      <c r="E61" s="117">
        <v>2</v>
      </c>
      <c r="F61" s="125">
        <v>2</v>
      </c>
    </row>
    <row r="62" spans="1:6">
      <c r="A62" s="117" t="s">
        <v>382</v>
      </c>
      <c r="B62" s="117">
        <v>31311</v>
      </c>
      <c r="C62" s="117">
        <v>8</v>
      </c>
      <c r="D62" s="117">
        <v>1</v>
      </c>
      <c r="E62" s="117">
        <v>2</v>
      </c>
      <c r="F62" s="125">
        <v>2</v>
      </c>
    </row>
    <row r="63" spans="1:6">
      <c r="A63" s="117" t="s">
        <v>382</v>
      </c>
      <c r="B63" s="117">
        <v>31312</v>
      </c>
      <c r="C63" s="117">
        <v>8</v>
      </c>
      <c r="D63" s="117">
        <v>1</v>
      </c>
      <c r="E63" s="117">
        <v>2</v>
      </c>
      <c r="F63" s="125">
        <v>2</v>
      </c>
    </row>
    <row r="64" spans="1:6">
      <c r="A64" s="117" t="s">
        <v>382</v>
      </c>
      <c r="B64" s="117">
        <v>31313</v>
      </c>
      <c r="C64" s="117">
        <v>8</v>
      </c>
      <c r="D64" s="117">
        <v>1</v>
      </c>
      <c r="E64" s="117">
        <v>2</v>
      </c>
      <c r="F64" s="125">
        <v>2</v>
      </c>
    </row>
    <row r="65" spans="1:6">
      <c r="A65" s="117" t="s">
        <v>382</v>
      </c>
      <c r="B65" s="117">
        <v>31314</v>
      </c>
      <c r="C65" s="117">
        <v>8</v>
      </c>
      <c r="D65" s="117">
        <v>1</v>
      </c>
      <c r="E65" s="117">
        <v>2</v>
      </c>
      <c r="F65" s="125">
        <v>2</v>
      </c>
    </row>
    <row r="66" spans="1:6">
      <c r="A66" s="117" t="s">
        <v>382</v>
      </c>
      <c r="B66" s="117">
        <v>31315</v>
      </c>
      <c r="C66" s="117">
        <v>8</v>
      </c>
      <c r="D66" s="117">
        <v>1</v>
      </c>
      <c r="E66" s="117">
        <v>2</v>
      </c>
      <c r="F66" s="125">
        <v>2</v>
      </c>
    </row>
    <row r="67" spans="1:6">
      <c r="A67" s="117" t="s">
        <v>382</v>
      </c>
      <c r="B67" s="117">
        <v>31316</v>
      </c>
      <c r="C67" s="117">
        <v>8</v>
      </c>
      <c r="D67" s="117">
        <v>1</v>
      </c>
      <c r="E67" s="117">
        <v>2</v>
      </c>
      <c r="F67" s="125">
        <v>2</v>
      </c>
    </row>
    <row r="68" spans="1:6">
      <c r="A68" s="117" t="s">
        <v>382</v>
      </c>
      <c r="B68" s="117">
        <v>31317</v>
      </c>
      <c r="C68" s="117">
        <v>8</v>
      </c>
      <c r="D68" s="117">
        <v>1</v>
      </c>
      <c r="E68" s="117">
        <v>2</v>
      </c>
      <c r="F68" s="125">
        <v>2</v>
      </c>
    </row>
    <row r="69" spans="1:6">
      <c r="A69" s="117" t="s">
        <v>382</v>
      </c>
      <c r="B69" s="117">
        <v>31318</v>
      </c>
      <c r="C69" s="117">
        <v>8</v>
      </c>
      <c r="D69" s="117">
        <v>1</v>
      </c>
      <c r="E69" s="117">
        <v>2</v>
      </c>
      <c r="F69" s="125">
        <v>2</v>
      </c>
    </row>
    <row r="70" spans="1:6">
      <c r="A70" s="117" t="s">
        <v>382</v>
      </c>
      <c r="B70" s="117">
        <v>31320</v>
      </c>
      <c r="C70" s="117">
        <v>8</v>
      </c>
      <c r="D70" s="117">
        <v>1</v>
      </c>
      <c r="E70" s="117">
        <v>2</v>
      </c>
      <c r="F70" s="125">
        <v>2</v>
      </c>
    </row>
    <row r="71" spans="1:6">
      <c r="A71" s="117" t="s">
        <v>382</v>
      </c>
      <c r="B71" s="117">
        <v>31321</v>
      </c>
      <c r="C71" s="117">
        <v>8</v>
      </c>
      <c r="D71" s="117">
        <v>1</v>
      </c>
      <c r="E71" s="117">
        <v>2</v>
      </c>
      <c r="F71" s="125">
        <v>2</v>
      </c>
    </row>
    <row r="72" spans="1:6">
      <c r="A72" s="117" t="s">
        <v>382</v>
      </c>
      <c r="B72" s="117">
        <v>31322</v>
      </c>
      <c r="C72" s="117">
        <v>8</v>
      </c>
      <c r="D72" s="117">
        <v>1</v>
      </c>
      <c r="E72" s="117">
        <v>2</v>
      </c>
      <c r="F72" s="125">
        <v>2</v>
      </c>
    </row>
    <row r="73" spans="1:6">
      <c r="A73" s="117" t="s">
        <v>382</v>
      </c>
      <c r="B73" s="117">
        <v>31323</v>
      </c>
      <c r="C73" s="117">
        <v>8</v>
      </c>
      <c r="D73" s="117">
        <v>1</v>
      </c>
      <c r="E73" s="117">
        <v>2</v>
      </c>
      <c r="F73" s="125">
        <v>2</v>
      </c>
    </row>
    <row r="74" spans="1:6">
      <c r="A74" s="117" t="s">
        <v>382</v>
      </c>
      <c r="B74" s="117">
        <v>31324</v>
      </c>
      <c r="C74" s="117">
        <v>8</v>
      </c>
      <c r="D74" s="117">
        <v>1</v>
      </c>
      <c r="E74" s="117">
        <v>2</v>
      </c>
      <c r="F74" s="125">
        <v>2</v>
      </c>
    </row>
    <row r="75" spans="1:6">
      <c r="A75" s="117" t="s">
        <v>382</v>
      </c>
      <c r="B75" s="117">
        <v>31325</v>
      </c>
      <c r="C75" s="117">
        <v>8</v>
      </c>
      <c r="D75" s="117">
        <v>1</v>
      </c>
      <c r="E75" s="117">
        <v>2</v>
      </c>
      <c r="F75" s="125">
        <v>2</v>
      </c>
    </row>
    <row r="76" spans="1:6">
      <c r="A76" s="117" t="s">
        <v>382</v>
      </c>
      <c r="B76" s="117">
        <v>31326</v>
      </c>
      <c r="C76" s="117">
        <v>8</v>
      </c>
      <c r="D76" s="117">
        <v>1</v>
      </c>
      <c r="E76" s="117">
        <v>2</v>
      </c>
      <c r="F76" s="125">
        <v>2</v>
      </c>
    </row>
    <row r="77" spans="1:6">
      <c r="A77" s="117" t="s">
        <v>382</v>
      </c>
      <c r="B77" s="117">
        <v>31327</v>
      </c>
      <c r="C77" s="117">
        <v>8</v>
      </c>
      <c r="D77" s="117">
        <v>1</v>
      </c>
      <c r="E77" s="117">
        <v>2</v>
      </c>
      <c r="F77" s="125">
        <v>2</v>
      </c>
    </row>
    <row r="78" spans="1:6">
      <c r="A78" s="117" t="s">
        <v>382</v>
      </c>
      <c r="B78" s="117">
        <v>31328</v>
      </c>
      <c r="C78" s="117">
        <v>8</v>
      </c>
      <c r="D78" s="117">
        <v>1</v>
      </c>
      <c r="E78" s="117">
        <v>2</v>
      </c>
      <c r="F78" s="125">
        <v>2</v>
      </c>
    </row>
    <row r="79" spans="1:6">
      <c r="A79" s="117" t="s">
        <v>382</v>
      </c>
      <c r="B79" s="117">
        <v>31329</v>
      </c>
      <c r="C79" s="117">
        <v>8</v>
      </c>
      <c r="D79" s="117">
        <v>1</v>
      </c>
      <c r="E79" s="117">
        <v>2</v>
      </c>
      <c r="F79" s="125">
        <v>2</v>
      </c>
    </row>
    <row r="80" spans="1:6">
      <c r="A80" s="117" t="s">
        <v>382</v>
      </c>
      <c r="B80" s="117">
        <v>31330</v>
      </c>
      <c r="C80" s="117">
        <v>8</v>
      </c>
      <c r="D80" s="117">
        <v>1</v>
      </c>
      <c r="E80" s="117">
        <v>2</v>
      </c>
      <c r="F80" s="125">
        <v>2</v>
      </c>
    </row>
    <row r="81" spans="1:6">
      <c r="A81" s="117" t="s">
        <v>382</v>
      </c>
      <c r="B81" s="117">
        <v>31331</v>
      </c>
      <c r="C81" s="117">
        <v>8</v>
      </c>
      <c r="D81" s="117">
        <v>1</v>
      </c>
      <c r="E81" s="117">
        <v>2</v>
      </c>
      <c r="F81" s="125">
        <v>2</v>
      </c>
    </row>
    <row r="82" spans="1:6">
      <c r="A82" s="117" t="s">
        <v>382</v>
      </c>
      <c r="B82" s="117">
        <v>31332</v>
      </c>
      <c r="C82" s="117">
        <v>8</v>
      </c>
      <c r="D82" s="117">
        <v>1</v>
      </c>
      <c r="E82" s="117">
        <v>2</v>
      </c>
      <c r="F82" s="125">
        <v>2</v>
      </c>
    </row>
    <row r="83" spans="1:6">
      <c r="A83" s="117" t="s">
        <v>382</v>
      </c>
      <c r="B83" s="117">
        <v>31333</v>
      </c>
      <c r="C83" s="117">
        <v>8</v>
      </c>
      <c r="D83" s="117">
        <v>1</v>
      </c>
      <c r="E83" s="117">
        <v>2</v>
      </c>
      <c r="F83" s="125">
        <v>2</v>
      </c>
    </row>
    <row r="84" spans="1:6">
      <c r="A84" s="117" t="s">
        <v>382</v>
      </c>
      <c r="B84" s="117">
        <v>31334</v>
      </c>
      <c r="C84" s="117">
        <v>8</v>
      </c>
      <c r="D84" s="117">
        <v>1</v>
      </c>
      <c r="E84" s="117">
        <v>2</v>
      </c>
      <c r="F84" s="125">
        <v>2</v>
      </c>
    </row>
    <row r="85" spans="1:6">
      <c r="A85" s="117" t="s">
        <v>382</v>
      </c>
      <c r="B85" s="117">
        <v>31335</v>
      </c>
      <c r="C85" s="117">
        <v>8</v>
      </c>
      <c r="D85" s="117">
        <v>1</v>
      </c>
      <c r="E85" s="117">
        <v>2</v>
      </c>
      <c r="F85" s="125">
        <v>2</v>
      </c>
    </row>
    <row r="86" spans="1:6">
      <c r="A86" s="117" t="s">
        <v>382</v>
      </c>
      <c r="B86" s="117">
        <v>31336</v>
      </c>
      <c r="C86" s="117">
        <v>8</v>
      </c>
      <c r="D86" s="117">
        <v>1</v>
      </c>
      <c r="E86" s="117">
        <v>2</v>
      </c>
      <c r="F86" s="125">
        <v>2</v>
      </c>
    </row>
    <row r="87" spans="1:6">
      <c r="A87" s="117" t="s">
        <v>382</v>
      </c>
      <c r="B87" s="117">
        <v>31337</v>
      </c>
      <c r="C87" s="117">
        <v>8</v>
      </c>
      <c r="D87" s="117">
        <v>1</v>
      </c>
      <c r="E87" s="117">
        <v>2</v>
      </c>
      <c r="F87" s="125">
        <v>2</v>
      </c>
    </row>
    <row r="88" spans="1:6">
      <c r="A88" s="117" t="s">
        <v>382</v>
      </c>
      <c r="B88" s="117">
        <v>31338</v>
      </c>
      <c r="C88" s="117">
        <v>8</v>
      </c>
      <c r="D88" s="117">
        <v>1</v>
      </c>
      <c r="E88" s="117">
        <v>2</v>
      </c>
      <c r="F88" s="125">
        <v>2</v>
      </c>
    </row>
    <row r="89" spans="1:6">
      <c r="A89" s="117" t="s">
        <v>382</v>
      </c>
      <c r="B89" s="117">
        <v>31339</v>
      </c>
      <c r="C89" s="117">
        <v>8</v>
      </c>
      <c r="D89" s="117">
        <v>1</v>
      </c>
      <c r="E89" s="117">
        <v>2</v>
      </c>
      <c r="F89" s="125">
        <v>2</v>
      </c>
    </row>
    <row r="90" spans="1:6">
      <c r="A90" s="117" t="s">
        <v>382</v>
      </c>
      <c r="B90" s="117">
        <v>31340</v>
      </c>
      <c r="C90" s="117">
        <v>8</v>
      </c>
      <c r="D90" s="117">
        <v>1</v>
      </c>
      <c r="E90" s="117">
        <v>2</v>
      </c>
      <c r="F90" s="125">
        <v>2</v>
      </c>
    </row>
    <row r="91" spans="1:6">
      <c r="A91" s="117" t="s">
        <v>382</v>
      </c>
      <c r="B91" s="117">
        <v>31341</v>
      </c>
      <c r="C91" s="117">
        <v>8</v>
      </c>
      <c r="D91" s="117">
        <v>1</v>
      </c>
      <c r="E91" s="117">
        <v>2</v>
      </c>
      <c r="F91" s="125">
        <v>2</v>
      </c>
    </row>
    <row r="92" spans="1:6">
      <c r="A92" s="117" t="s">
        <v>382</v>
      </c>
      <c r="B92" s="117">
        <v>31342</v>
      </c>
      <c r="C92" s="117">
        <v>8</v>
      </c>
      <c r="D92" s="117">
        <v>1</v>
      </c>
      <c r="E92" s="117">
        <v>2</v>
      </c>
      <c r="F92" s="125">
        <v>2</v>
      </c>
    </row>
    <row r="93" spans="1:6">
      <c r="A93" s="117" t="s">
        <v>382</v>
      </c>
      <c r="B93" s="117">
        <v>31343</v>
      </c>
      <c r="C93" s="117">
        <v>8</v>
      </c>
      <c r="D93" s="117">
        <v>1</v>
      </c>
      <c r="E93" s="117">
        <v>2</v>
      </c>
      <c r="F93" s="125">
        <v>2</v>
      </c>
    </row>
    <row r="94" spans="1:6">
      <c r="A94" s="117" t="s">
        <v>382</v>
      </c>
      <c r="B94" s="117">
        <v>31344</v>
      </c>
      <c r="C94" s="117">
        <v>8</v>
      </c>
      <c r="D94" s="117">
        <v>1</v>
      </c>
      <c r="E94" s="117">
        <v>2</v>
      </c>
      <c r="F94" s="125">
        <v>2</v>
      </c>
    </row>
    <row r="95" spans="1:6">
      <c r="A95" s="117" t="s">
        <v>382</v>
      </c>
      <c r="B95" s="117">
        <v>31345</v>
      </c>
      <c r="C95" s="117">
        <v>8</v>
      </c>
      <c r="D95" s="117">
        <v>1</v>
      </c>
      <c r="E95" s="117">
        <v>2</v>
      </c>
      <c r="F95" s="125">
        <v>2</v>
      </c>
    </row>
    <row r="96" spans="1:6">
      <c r="A96" s="117" t="s">
        <v>382</v>
      </c>
      <c r="B96" s="117">
        <v>31346</v>
      </c>
      <c r="C96" s="117">
        <v>8</v>
      </c>
      <c r="D96" s="117">
        <v>1</v>
      </c>
      <c r="E96" s="117">
        <v>2</v>
      </c>
      <c r="F96" s="125">
        <v>2</v>
      </c>
    </row>
    <row r="97" spans="1:6">
      <c r="A97" s="117" t="s">
        <v>382</v>
      </c>
      <c r="B97" s="117">
        <v>31347</v>
      </c>
      <c r="C97" s="117">
        <v>8</v>
      </c>
      <c r="D97" s="117">
        <v>1</v>
      </c>
      <c r="E97" s="117">
        <v>2</v>
      </c>
      <c r="F97" s="125">
        <v>2</v>
      </c>
    </row>
    <row r="98" spans="1:6">
      <c r="A98" s="117" t="s">
        <v>382</v>
      </c>
      <c r="B98" s="117">
        <v>31348</v>
      </c>
      <c r="C98" s="117">
        <v>8</v>
      </c>
      <c r="D98" s="117">
        <v>1</v>
      </c>
      <c r="E98" s="117">
        <v>2</v>
      </c>
      <c r="F98" s="125">
        <v>2</v>
      </c>
    </row>
    <row r="99" spans="1:6">
      <c r="A99" s="117" t="s">
        <v>382</v>
      </c>
      <c r="B99" s="117">
        <v>31349</v>
      </c>
      <c r="C99" s="117">
        <v>8</v>
      </c>
      <c r="D99" s="117">
        <v>1</v>
      </c>
      <c r="E99" s="117">
        <v>2</v>
      </c>
      <c r="F99" s="125">
        <v>2</v>
      </c>
    </row>
    <row r="100" spans="1:6">
      <c r="A100" s="117" t="s">
        <v>382</v>
      </c>
      <c r="B100" s="117">
        <v>31350</v>
      </c>
      <c r="C100" s="117">
        <v>8</v>
      </c>
      <c r="D100" s="117">
        <v>1</v>
      </c>
      <c r="E100" s="117">
        <v>2</v>
      </c>
      <c r="F100" s="125">
        <v>2</v>
      </c>
    </row>
    <row r="101" spans="1:6">
      <c r="A101" s="117" t="s">
        <v>382</v>
      </c>
      <c r="B101" s="117">
        <v>31361</v>
      </c>
      <c r="C101" s="117">
        <v>8</v>
      </c>
      <c r="D101" s="117">
        <v>1</v>
      </c>
      <c r="E101" s="117">
        <v>2</v>
      </c>
      <c r="F101" s="125">
        <v>2</v>
      </c>
    </row>
    <row r="102" spans="1:6">
      <c r="A102" s="117" t="s">
        <v>382</v>
      </c>
      <c r="B102" s="117">
        <v>31362</v>
      </c>
      <c r="C102" s="117">
        <v>8</v>
      </c>
      <c r="D102" s="117">
        <v>1</v>
      </c>
      <c r="E102" s="117">
        <v>2</v>
      </c>
      <c r="F102" s="125">
        <v>2</v>
      </c>
    </row>
    <row r="103" spans="1:6">
      <c r="A103" s="117" t="s">
        <v>382</v>
      </c>
      <c r="B103" s="117">
        <v>31363</v>
      </c>
      <c r="C103" s="117">
        <v>8</v>
      </c>
      <c r="D103" s="117">
        <v>1</v>
      </c>
      <c r="E103" s="117">
        <v>2</v>
      </c>
      <c r="F103" s="125">
        <v>2</v>
      </c>
    </row>
    <row r="104" spans="1:6">
      <c r="A104" s="117" t="s">
        <v>382</v>
      </c>
      <c r="B104" s="117">
        <v>31364</v>
      </c>
      <c r="C104" s="117">
        <v>8</v>
      </c>
      <c r="D104" s="117">
        <v>1</v>
      </c>
      <c r="E104" s="117">
        <v>2</v>
      </c>
      <c r="F104" s="125">
        <v>2</v>
      </c>
    </row>
    <row r="105" spans="1:6">
      <c r="A105" s="117" t="s">
        <v>382</v>
      </c>
      <c r="B105" s="117">
        <v>31365</v>
      </c>
      <c r="C105" s="117">
        <v>8</v>
      </c>
      <c r="D105" s="117">
        <v>1</v>
      </c>
      <c r="E105" s="117">
        <v>2</v>
      </c>
      <c r="F105" s="125">
        <v>2</v>
      </c>
    </row>
    <row r="106" spans="1:6">
      <c r="A106" s="117" t="s">
        <v>382</v>
      </c>
      <c r="B106" s="117">
        <v>31366</v>
      </c>
      <c r="C106" s="117">
        <v>8</v>
      </c>
      <c r="D106" s="117">
        <v>1</v>
      </c>
      <c r="E106" s="117">
        <v>2</v>
      </c>
      <c r="F106" s="125">
        <v>2</v>
      </c>
    </row>
    <row r="107" spans="1:6">
      <c r="A107" s="117" t="s">
        <v>382</v>
      </c>
      <c r="B107" s="117">
        <v>31367</v>
      </c>
      <c r="C107" s="117">
        <v>8</v>
      </c>
      <c r="D107" s="117">
        <v>1</v>
      </c>
      <c r="E107" s="117">
        <v>2</v>
      </c>
      <c r="F107" s="125">
        <v>2</v>
      </c>
    </row>
    <row r="108" spans="1:6">
      <c r="A108" s="117" t="s">
        <v>382</v>
      </c>
      <c r="B108" s="117">
        <v>31368</v>
      </c>
      <c r="C108" s="117">
        <v>8</v>
      </c>
      <c r="D108" s="117">
        <v>1</v>
      </c>
      <c r="E108" s="117">
        <v>2</v>
      </c>
      <c r="F108" s="125">
        <v>2</v>
      </c>
    </row>
    <row r="109" spans="1:6">
      <c r="A109" s="117" t="s">
        <v>382</v>
      </c>
      <c r="B109" s="117">
        <v>31369</v>
      </c>
      <c r="C109" s="117">
        <v>8</v>
      </c>
      <c r="D109" s="117">
        <v>1</v>
      </c>
      <c r="E109" s="117">
        <v>2</v>
      </c>
      <c r="F109" s="125">
        <v>2</v>
      </c>
    </row>
    <row r="110" spans="1:6">
      <c r="A110" s="117" t="s">
        <v>382</v>
      </c>
      <c r="B110" s="117">
        <v>31371</v>
      </c>
      <c r="C110" s="117">
        <v>8</v>
      </c>
      <c r="D110" s="117">
        <v>1</v>
      </c>
      <c r="E110" s="117">
        <v>2</v>
      </c>
      <c r="F110" s="125">
        <v>2</v>
      </c>
    </row>
    <row r="111" spans="1:6">
      <c r="A111" s="117" t="s">
        <v>382</v>
      </c>
      <c r="B111" s="117">
        <v>31372</v>
      </c>
      <c r="C111" s="117">
        <v>8</v>
      </c>
      <c r="D111" s="117">
        <v>1</v>
      </c>
      <c r="E111" s="117">
        <v>2</v>
      </c>
      <c r="F111" s="125">
        <v>2</v>
      </c>
    </row>
    <row r="112" spans="1:6">
      <c r="A112" s="117" t="s">
        <v>382</v>
      </c>
      <c r="B112" s="117">
        <v>31373</v>
      </c>
      <c r="C112" s="117">
        <v>8</v>
      </c>
      <c r="D112" s="117">
        <v>1</v>
      </c>
      <c r="E112" s="117">
        <v>2</v>
      </c>
      <c r="F112" s="125">
        <v>2</v>
      </c>
    </row>
    <row r="113" spans="1:6">
      <c r="A113" s="117" t="s">
        <v>382</v>
      </c>
      <c r="B113" s="117">
        <v>31374</v>
      </c>
      <c r="C113" s="117">
        <v>8</v>
      </c>
      <c r="D113" s="117">
        <v>1</v>
      </c>
      <c r="E113" s="117">
        <v>2</v>
      </c>
      <c r="F113" s="125">
        <v>2</v>
      </c>
    </row>
    <row r="114" spans="1:6">
      <c r="A114" s="117" t="s">
        <v>382</v>
      </c>
      <c r="B114" s="117">
        <v>31375</v>
      </c>
      <c r="C114" s="117">
        <v>8</v>
      </c>
      <c r="D114" s="117">
        <v>1</v>
      </c>
      <c r="E114" s="117">
        <v>2</v>
      </c>
      <c r="F114" s="125">
        <v>2</v>
      </c>
    </row>
    <row r="115" spans="1:6">
      <c r="A115" s="117" t="s">
        <v>382</v>
      </c>
      <c r="B115" s="117">
        <v>31376</v>
      </c>
      <c r="C115" s="117">
        <v>8</v>
      </c>
      <c r="D115" s="117">
        <v>1</v>
      </c>
      <c r="E115" s="117">
        <v>2</v>
      </c>
      <c r="F115" s="125">
        <v>2</v>
      </c>
    </row>
    <row r="116" spans="1:6">
      <c r="A116" s="117" t="s">
        <v>382</v>
      </c>
      <c r="B116" s="117">
        <v>31377</v>
      </c>
      <c r="C116" s="117">
        <v>8</v>
      </c>
      <c r="D116" s="117">
        <v>1</v>
      </c>
      <c r="E116" s="117">
        <v>2</v>
      </c>
      <c r="F116" s="125">
        <v>2</v>
      </c>
    </row>
    <row r="117" spans="1:6">
      <c r="A117" s="117" t="s">
        <v>382</v>
      </c>
      <c r="B117" s="117">
        <v>31378</v>
      </c>
      <c r="C117" s="117">
        <v>8</v>
      </c>
      <c r="D117" s="117">
        <v>1</v>
      </c>
      <c r="E117" s="117">
        <v>2</v>
      </c>
      <c r="F117" s="125">
        <v>2</v>
      </c>
    </row>
    <row r="118" spans="1:6">
      <c r="A118" s="117" t="s">
        <v>382</v>
      </c>
      <c r="B118" s="117">
        <v>31379</v>
      </c>
      <c r="C118" s="117">
        <v>8</v>
      </c>
      <c r="D118" s="117">
        <v>1</v>
      </c>
      <c r="E118" s="117">
        <v>2</v>
      </c>
      <c r="F118" s="125">
        <v>2</v>
      </c>
    </row>
    <row r="119" spans="1:6">
      <c r="A119" s="117" t="s">
        <v>382</v>
      </c>
      <c r="B119" s="117">
        <v>31380</v>
      </c>
      <c r="C119" s="117">
        <v>8</v>
      </c>
      <c r="D119" s="117">
        <v>1</v>
      </c>
      <c r="E119" s="117">
        <v>2</v>
      </c>
      <c r="F119" s="125">
        <v>2</v>
      </c>
    </row>
    <row r="120" spans="1:6">
      <c r="A120" s="117" t="s">
        <v>382</v>
      </c>
      <c r="B120" s="117">
        <v>31262</v>
      </c>
      <c r="C120" s="117">
        <v>8</v>
      </c>
      <c r="D120" s="117">
        <v>1</v>
      </c>
      <c r="E120" s="117">
        <v>2</v>
      </c>
      <c r="F120" s="125">
        <v>2</v>
      </c>
    </row>
    <row r="121" spans="1:6">
      <c r="A121" s="117" t="s">
        <v>382</v>
      </c>
      <c r="B121" s="117">
        <v>31370</v>
      </c>
      <c r="C121" s="117">
        <v>8</v>
      </c>
      <c r="D121" s="117">
        <v>1</v>
      </c>
      <c r="E121" s="117">
        <v>2</v>
      </c>
      <c r="F121" s="125">
        <v>2</v>
      </c>
    </row>
    <row r="122" spans="1:6">
      <c r="A122" s="117" t="s">
        <v>382</v>
      </c>
      <c r="B122" s="117">
        <v>31384</v>
      </c>
      <c r="C122" s="117">
        <v>8</v>
      </c>
      <c r="D122" s="117">
        <v>1</v>
      </c>
      <c r="E122" s="117">
        <v>2</v>
      </c>
      <c r="F122" s="125">
        <v>2</v>
      </c>
    </row>
    <row r="123" spans="1:6">
      <c r="A123" s="117" t="s">
        <v>382</v>
      </c>
      <c r="B123" s="117">
        <v>31007</v>
      </c>
      <c r="C123" s="117">
        <v>8</v>
      </c>
      <c r="D123" s="117">
        <v>1</v>
      </c>
      <c r="E123" s="117">
        <v>2</v>
      </c>
      <c r="F123" s="125">
        <v>2</v>
      </c>
    </row>
    <row r="124" spans="1:6">
      <c r="A124" s="117" t="s">
        <v>382</v>
      </c>
      <c r="B124" s="117">
        <v>31012</v>
      </c>
      <c r="C124" s="117">
        <v>8</v>
      </c>
      <c r="D124" s="117">
        <v>1</v>
      </c>
      <c r="E124" s="117">
        <v>2</v>
      </c>
      <c r="F124" s="125">
        <v>2</v>
      </c>
    </row>
    <row r="125" spans="1:6">
      <c r="A125" s="117" t="s">
        <v>382</v>
      </c>
      <c r="B125" s="117">
        <v>31030</v>
      </c>
      <c r="C125" s="117">
        <v>8</v>
      </c>
      <c r="D125" s="117">
        <v>1</v>
      </c>
      <c r="E125" s="117">
        <v>2</v>
      </c>
      <c r="F125" s="125">
        <v>2</v>
      </c>
    </row>
    <row r="126" spans="1:6">
      <c r="A126" s="117" t="s">
        <v>382</v>
      </c>
      <c r="B126" s="117">
        <v>31031</v>
      </c>
      <c r="C126" s="117">
        <v>8</v>
      </c>
      <c r="D126" s="117">
        <v>1</v>
      </c>
      <c r="E126" s="117">
        <v>2</v>
      </c>
      <c r="F126" s="125">
        <v>2</v>
      </c>
    </row>
    <row r="127" spans="1:6">
      <c r="A127" s="117" t="s">
        <v>382</v>
      </c>
      <c r="B127" s="117">
        <v>31033</v>
      </c>
      <c r="C127" s="117">
        <v>8</v>
      </c>
      <c r="D127" s="117">
        <v>1</v>
      </c>
      <c r="E127" s="117">
        <v>2</v>
      </c>
      <c r="F127" s="125">
        <v>2</v>
      </c>
    </row>
    <row r="128" spans="1:6">
      <c r="A128" s="117" t="s">
        <v>382</v>
      </c>
      <c r="B128" s="117">
        <v>31035</v>
      </c>
      <c r="C128" s="117">
        <v>8</v>
      </c>
      <c r="D128" s="117">
        <v>1</v>
      </c>
      <c r="E128" s="117">
        <v>2</v>
      </c>
      <c r="F128" s="125">
        <v>2</v>
      </c>
    </row>
    <row r="129" spans="1:6">
      <c r="A129" s="117" t="s">
        <v>382</v>
      </c>
      <c r="B129" s="117">
        <v>31037</v>
      </c>
      <c r="C129" s="117">
        <v>8</v>
      </c>
      <c r="D129" s="117">
        <v>1</v>
      </c>
      <c r="E129" s="117">
        <v>2</v>
      </c>
      <c r="F129" s="125">
        <v>2</v>
      </c>
    </row>
    <row r="130" spans="1:6">
      <c r="A130" s="117" t="s">
        <v>382</v>
      </c>
      <c r="B130" s="117">
        <v>31043</v>
      </c>
      <c r="C130" s="117">
        <v>8</v>
      </c>
      <c r="D130" s="117">
        <v>1</v>
      </c>
      <c r="E130" s="117">
        <v>2</v>
      </c>
      <c r="F130" s="125">
        <v>2</v>
      </c>
    </row>
    <row r="131" spans="1:6">
      <c r="A131" s="117" t="s">
        <v>382</v>
      </c>
      <c r="B131" s="117">
        <v>31051</v>
      </c>
      <c r="C131" s="117">
        <v>8</v>
      </c>
      <c r="D131" s="117">
        <v>1</v>
      </c>
      <c r="E131" s="117">
        <v>2</v>
      </c>
      <c r="F131" s="125">
        <v>2</v>
      </c>
    </row>
    <row r="132" spans="1:6">
      <c r="A132" s="117" t="s">
        <v>382</v>
      </c>
      <c r="B132" s="117">
        <v>31053</v>
      </c>
      <c r="C132" s="117">
        <v>8</v>
      </c>
      <c r="D132" s="117">
        <v>1</v>
      </c>
      <c r="E132" s="117">
        <v>2</v>
      </c>
      <c r="F132" s="125">
        <v>2</v>
      </c>
    </row>
    <row r="133" spans="1:6">
      <c r="A133" s="117" t="s">
        <v>382</v>
      </c>
      <c r="B133" s="117">
        <v>31056</v>
      </c>
      <c r="C133" s="117">
        <v>8</v>
      </c>
      <c r="D133" s="117">
        <v>1</v>
      </c>
      <c r="E133" s="117">
        <v>2</v>
      </c>
      <c r="F133" s="125">
        <v>2</v>
      </c>
    </row>
    <row r="134" spans="1:6">
      <c r="A134" s="117" t="s">
        <v>382</v>
      </c>
      <c r="B134" s="117">
        <v>31057</v>
      </c>
      <c r="C134" s="117">
        <v>8</v>
      </c>
      <c r="D134" s="117">
        <v>1</v>
      </c>
      <c r="E134" s="117">
        <v>2</v>
      </c>
      <c r="F134" s="125">
        <v>2</v>
      </c>
    </row>
    <row r="135" spans="1:6">
      <c r="A135" s="117" t="s">
        <v>382</v>
      </c>
      <c r="B135" s="117">
        <v>31063</v>
      </c>
      <c r="C135" s="117">
        <v>8</v>
      </c>
      <c r="D135" s="117">
        <v>1</v>
      </c>
      <c r="E135" s="117">
        <v>2</v>
      </c>
      <c r="F135" s="125">
        <v>2</v>
      </c>
    </row>
    <row r="136" spans="1:6">
      <c r="A136" s="117" t="s">
        <v>382</v>
      </c>
      <c r="B136" s="117">
        <v>31069</v>
      </c>
      <c r="C136" s="117">
        <v>8</v>
      </c>
      <c r="D136" s="117">
        <v>1</v>
      </c>
      <c r="E136" s="117">
        <v>2</v>
      </c>
      <c r="F136" s="125">
        <v>2</v>
      </c>
    </row>
    <row r="137" spans="1:6">
      <c r="A137" s="117" t="s">
        <v>382</v>
      </c>
      <c r="B137" s="117">
        <v>31071</v>
      </c>
      <c r="C137" s="117">
        <v>8</v>
      </c>
      <c r="D137" s="117">
        <v>1</v>
      </c>
      <c r="E137" s="117">
        <v>2</v>
      </c>
      <c r="F137" s="125">
        <v>2</v>
      </c>
    </row>
    <row r="138" spans="1:6">
      <c r="A138" s="117" t="s">
        <v>382</v>
      </c>
      <c r="B138" s="117">
        <v>31072</v>
      </c>
      <c r="C138" s="117">
        <v>8</v>
      </c>
      <c r="D138" s="117">
        <v>1</v>
      </c>
      <c r="E138" s="117">
        <v>2</v>
      </c>
      <c r="F138" s="125">
        <v>2</v>
      </c>
    </row>
    <row r="139" spans="1:6">
      <c r="A139" s="117" t="s">
        <v>382</v>
      </c>
      <c r="B139" s="117">
        <v>31077</v>
      </c>
      <c r="C139" s="117">
        <v>8</v>
      </c>
      <c r="D139" s="117">
        <v>1</v>
      </c>
      <c r="E139" s="117">
        <v>2</v>
      </c>
      <c r="F139" s="125">
        <v>2</v>
      </c>
    </row>
    <row r="140" spans="1:6">
      <c r="A140" s="117" t="s">
        <v>382</v>
      </c>
      <c r="B140" s="117">
        <v>31078</v>
      </c>
      <c r="C140" s="117">
        <v>8</v>
      </c>
      <c r="D140" s="117">
        <v>1</v>
      </c>
      <c r="E140" s="117">
        <v>2</v>
      </c>
      <c r="F140" s="125">
        <v>2</v>
      </c>
    </row>
    <row r="141" spans="1:6">
      <c r="A141" s="117" t="s">
        <v>382</v>
      </c>
      <c r="B141" s="117">
        <v>31083</v>
      </c>
      <c r="C141" s="117">
        <v>8</v>
      </c>
      <c r="D141" s="117">
        <v>1</v>
      </c>
      <c r="E141" s="117">
        <v>2</v>
      </c>
      <c r="F141" s="125">
        <v>2</v>
      </c>
    </row>
    <row r="142" spans="1:6">
      <c r="A142" s="117" t="s">
        <v>382</v>
      </c>
      <c r="B142" s="117">
        <v>31088</v>
      </c>
      <c r="C142" s="117">
        <v>8</v>
      </c>
      <c r="D142" s="117">
        <v>1</v>
      </c>
      <c r="E142" s="117">
        <v>2</v>
      </c>
      <c r="F142" s="125">
        <v>2</v>
      </c>
    </row>
    <row r="143" spans="1:6">
      <c r="A143" s="117" t="s">
        <v>382</v>
      </c>
      <c r="B143" s="117">
        <v>31100</v>
      </c>
      <c r="C143" s="117">
        <v>8</v>
      </c>
      <c r="D143" s="117">
        <v>1</v>
      </c>
      <c r="E143" s="117">
        <v>2</v>
      </c>
      <c r="F143" s="125">
        <v>2</v>
      </c>
    </row>
    <row r="144" spans="1:6">
      <c r="A144" s="117" t="s">
        <v>382</v>
      </c>
      <c r="B144" s="117">
        <v>31101</v>
      </c>
      <c r="C144" s="117">
        <v>8</v>
      </c>
      <c r="D144" s="117">
        <v>1</v>
      </c>
      <c r="E144" s="117">
        <v>2</v>
      </c>
      <c r="F144" s="125">
        <v>2</v>
      </c>
    </row>
    <row r="145" spans="1:6">
      <c r="A145" s="117" t="s">
        <v>382</v>
      </c>
      <c r="B145" s="117">
        <v>31108</v>
      </c>
      <c r="C145" s="117">
        <v>8</v>
      </c>
      <c r="D145" s="117">
        <v>1</v>
      </c>
      <c r="E145" s="117">
        <v>2</v>
      </c>
      <c r="F145" s="125">
        <v>2</v>
      </c>
    </row>
    <row r="146" spans="1:6">
      <c r="A146" s="117" t="s">
        <v>382</v>
      </c>
      <c r="B146" s="117">
        <v>31115</v>
      </c>
      <c r="C146" s="117">
        <v>8</v>
      </c>
      <c r="D146" s="117">
        <v>1</v>
      </c>
      <c r="E146" s="117">
        <v>2</v>
      </c>
      <c r="F146" s="125">
        <v>2</v>
      </c>
    </row>
    <row r="147" spans="1:6">
      <c r="A147" s="117" t="s">
        <v>382</v>
      </c>
      <c r="B147" s="117">
        <v>31117</v>
      </c>
      <c r="C147" s="117">
        <v>8</v>
      </c>
      <c r="D147" s="117">
        <v>1</v>
      </c>
      <c r="E147" s="117">
        <v>2</v>
      </c>
      <c r="F147" s="125">
        <v>2</v>
      </c>
    </row>
    <row r="148" spans="1:6">
      <c r="A148" s="117" t="s">
        <v>382</v>
      </c>
      <c r="B148" s="117">
        <v>31128</v>
      </c>
      <c r="C148" s="117">
        <v>8</v>
      </c>
      <c r="D148" s="117">
        <v>1</v>
      </c>
      <c r="E148" s="117">
        <v>2</v>
      </c>
      <c r="F148" s="125">
        <v>2</v>
      </c>
    </row>
    <row r="149" spans="1:6">
      <c r="A149" s="117" t="s">
        <v>382</v>
      </c>
      <c r="B149" s="117">
        <v>31180</v>
      </c>
      <c r="C149" s="117">
        <v>8</v>
      </c>
      <c r="D149" s="117">
        <v>1</v>
      </c>
      <c r="E149" s="117">
        <v>2</v>
      </c>
      <c r="F149" s="125">
        <v>2</v>
      </c>
    </row>
    <row r="150" spans="1:6">
      <c r="A150" s="117" t="s">
        <v>382</v>
      </c>
      <c r="B150" s="117">
        <v>31216</v>
      </c>
      <c r="C150" s="117">
        <v>8</v>
      </c>
      <c r="D150" s="117">
        <v>1</v>
      </c>
      <c r="E150" s="117">
        <v>2</v>
      </c>
      <c r="F150" s="125">
        <v>2</v>
      </c>
    </row>
    <row r="151" spans="1:6">
      <c r="A151" s="117"/>
      <c r="B151" s="117"/>
      <c r="C151" s="117"/>
    </row>
    <row r="152" spans="1:6">
      <c r="A152" s="117"/>
      <c r="B152" s="117"/>
      <c r="C152" s="117"/>
    </row>
    <row r="153" spans="1:6">
      <c r="A153" s="117"/>
      <c r="B153" s="117"/>
      <c r="C153" s="117"/>
    </row>
    <row r="154" spans="1:6">
      <c r="A154" s="117"/>
      <c r="B154" s="117"/>
      <c r="C154" s="117"/>
    </row>
    <row r="155" spans="1:6">
      <c r="A155" s="117"/>
      <c r="B155" s="117"/>
      <c r="C155" s="1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109"/>
  <sheetViews>
    <sheetView topLeftCell="E1" zoomScale="85" zoomScaleNormal="85" workbookViewId="0">
      <selection activeCell="AA6" sqref="AA6"/>
    </sheetView>
  </sheetViews>
  <sheetFormatPr defaultColWidth="12.42578125" defaultRowHeight="12.75"/>
  <cols>
    <col min="1" max="1" width="7.42578125" style="72" hidden="1" customWidth="1"/>
    <col min="2" max="2" width="32.42578125" style="72" hidden="1" customWidth="1"/>
    <col min="3" max="3" width="14.42578125" style="72" hidden="1" customWidth="1"/>
    <col min="4" max="4" width="1.7109375" style="72" hidden="1" customWidth="1"/>
    <col min="5" max="5" width="10.85546875" style="65" customWidth="1"/>
    <col min="6" max="6" width="0.140625" style="11" customWidth="1"/>
    <col min="7" max="7" width="20.42578125" style="66" customWidth="1"/>
    <col min="8" max="8" width="11.42578125" style="11" hidden="1" customWidth="1"/>
    <col min="9" max="9" width="12.7109375" style="11" hidden="1" customWidth="1"/>
    <col min="10" max="10" width="17.42578125" style="11" hidden="1" customWidth="1"/>
    <col min="11" max="11" width="37" style="64" customWidth="1"/>
    <col min="12" max="12" width="25.7109375" style="11" customWidth="1"/>
    <col min="13" max="13" width="19.140625" style="11" hidden="1" customWidth="1"/>
    <col min="14" max="14" width="48" style="11" customWidth="1"/>
    <col min="15" max="15" width="15.28515625" style="72" hidden="1" customWidth="1"/>
    <col min="16" max="16" width="11.140625" style="72" hidden="1" customWidth="1"/>
    <col min="17" max="17" width="9.28515625" style="72" hidden="1" customWidth="1"/>
    <col min="18" max="18" width="6" style="72" hidden="1" customWidth="1"/>
    <col min="19" max="19" width="3.85546875" style="72" hidden="1" customWidth="1"/>
    <col min="20" max="20" width="8" style="72" hidden="1" customWidth="1"/>
    <col min="21" max="21" width="5.7109375" style="72" hidden="1" customWidth="1"/>
    <col min="22" max="22" width="8" style="72" hidden="1" customWidth="1"/>
    <col min="23" max="23" width="10.7109375" style="72" hidden="1" customWidth="1"/>
    <col min="24" max="28" width="4.42578125" style="72" customWidth="1"/>
    <col min="29" max="29" width="10.28515625" style="11" customWidth="1"/>
    <col min="30" max="30" width="72.7109375" style="72" customWidth="1"/>
    <col min="31" max="31" width="12.42578125" style="72" customWidth="1"/>
    <col min="32" max="32" width="31.7109375" style="72" customWidth="1"/>
    <col min="33" max="33" width="35.140625" style="72" customWidth="1"/>
    <col min="34" max="16384" width="12.42578125" style="72"/>
  </cols>
  <sheetData>
    <row r="1" spans="1:30" ht="96.75" customHeight="1">
      <c r="A1" s="68" t="s">
        <v>0</v>
      </c>
      <c r="B1" s="69" t="s">
        <v>1</v>
      </c>
      <c r="C1" s="69" t="s">
        <v>2</v>
      </c>
      <c r="D1" s="131"/>
      <c r="E1" s="132" t="s">
        <v>337</v>
      </c>
      <c r="F1" s="7"/>
      <c r="G1" s="134" t="s">
        <v>3</v>
      </c>
      <c r="H1" s="7" t="s">
        <v>4</v>
      </c>
      <c r="I1" s="7" t="s">
        <v>5</v>
      </c>
      <c r="J1" s="8" t="s">
        <v>6</v>
      </c>
      <c r="K1" s="136" t="s">
        <v>7</v>
      </c>
      <c r="L1" s="138" t="s">
        <v>8</v>
      </c>
      <c r="M1" s="9" t="s">
        <v>6</v>
      </c>
      <c r="N1" s="9" t="s">
        <v>4</v>
      </c>
      <c r="O1" s="70" t="s">
        <v>9</v>
      </c>
      <c r="P1" s="70" t="s">
        <v>10</v>
      </c>
      <c r="Q1" s="70" t="s">
        <v>11</v>
      </c>
      <c r="R1" s="70" t="s">
        <v>12</v>
      </c>
      <c r="S1" s="70" t="s">
        <v>13</v>
      </c>
      <c r="T1" s="70" t="s">
        <v>14</v>
      </c>
      <c r="U1" s="70" t="s">
        <v>15</v>
      </c>
      <c r="V1" s="70" t="s">
        <v>16</v>
      </c>
      <c r="W1" s="70" t="s">
        <v>17</v>
      </c>
      <c r="X1" s="71" t="s">
        <v>384</v>
      </c>
      <c r="Y1" s="71" t="s">
        <v>18</v>
      </c>
      <c r="Z1" s="71" t="s">
        <v>19</v>
      </c>
      <c r="AA1" s="71" t="s">
        <v>20</v>
      </c>
      <c r="AB1" s="71" t="s">
        <v>21</v>
      </c>
      <c r="AC1" s="10" t="s">
        <v>22</v>
      </c>
      <c r="AD1" s="129" t="s">
        <v>23</v>
      </c>
    </row>
    <row r="2" spans="1:30" ht="54" customHeight="1">
      <c r="A2" s="68"/>
      <c r="B2" s="69"/>
      <c r="C2" s="69"/>
      <c r="D2" s="131"/>
      <c r="E2" s="133"/>
      <c r="F2" s="7"/>
      <c r="G2" s="135"/>
      <c r="H2" s="7"/>
      <c r="I2" s="7"/>
      <c r="J2" s="8"/>
      <c r="K2" s="137"/>
      <c r="L2" s="139"/>
      <c r="M2" s="9"/>
      <c r="N2" s="9"/>
      <c r="O2" s="70"/>
      <c r="P2" s="70"/>
      <c r="Q2" s="70"/>
      <c r="R2" s="70"/>
      <c r="S2" s="70"/>
      <c r="T2" s="70"/>
      <c r="U2" s="70"/>
      <c r="V2" s="70"/>
      <c r="W2" s="70"/>
      <c r="X2" s="73" t="s">
        <v>338</v>
      </c>
      <c r="Y2" s="74"/>
      <c r="Z2" s="74"/>
      <c r="AA2" s="74"/>
      <c r="AB2" s="74"/>
      <c r="AC2" s="67"/>
      <c r="AD2" s="130"/>
    </row>
    <row r="3" spans="1:30" ht="78.75">
      <c r="A3" s="75" t="s">
        <v>24</v>
      </c>
      <c r="B3" s="76" t="s">
        <v>25</v>
      </c>
      <c r="C3" s="76" t="s">
        <v>26</v>
      </c>
      <c r="D3" s="131"/>
      <c r="E3" s="12" t="s">
        <v>24</v>
      </c>
      <c r="F3" s="13" t="s">
        <v>27</v>
      </c>
      <c r="G3" s="14" t="s">
        <v>28</v>
      </c>
      <c r="H3" s="15"/>
      <c r="I3" s="16">
        <v>220923</v>
      </c>
      <c r="J3" s="16">
        <v>5</v>
      </c>
      <c r="K3" s="17" t="str">
        <f t="shared" ref="K3:K5" si="0">CONCATENATE(D3,E3,"_",F3,"_",G3,H3,"_",I3,"_v",J3)</f>
        <v>01_info_ac_435x580_220923_v5</v>
      </c>
      <c r="L3" s="18" t="s">
        <v>29</v>
      </c>
      <c r="M3" s="18" t="s">
        <v>30</v>
      </c>
      <c r="N3" s="19" t="s">
        <v>342</v>
      </c>
      <c r="O3" s="77"/>
      <c r="P3" s="77"/>
      <c r="Q3" s="78">
        <v>1</v>
      </c>
      <c r="R3" s="78">
        <v>1</v>
      </c>
      <c r="S3" s="78">
        <v>1</v>
      </c>
      <c r="T3" s="78">
        <v>1</v>
      </c>
      <c r="U3" s="78">
        <v>1</v>
      </c>
      <c r="V3" s="78">
        <v>1</v>
      </c>
      <c r="W3" s="78">
        <v>1</v>
      </c>
      <c r="X3" s="1">
        <v>120</v>
      </c>
      <c r="Y3" s="1">
        <v>150</v>
      </c>
      <c r="Z3" s="1">
        <v>114</v>
      </c>
      <c r="AA3" s="1">
        <v>170</v>
      </c>
      <c r="AB3" s="1">
        <v>149</v>
      </c>
      <c r="AC3" s="20">
        <f t="shared" ref="AC3:AC59" si="1">SUM(X3:AB3)</f>
        <v>703</v>
      </c>
      <c r="AD3" s="105" t="s">
        <v>366</v>
      </c>
    </row>
    <row r="4" spans="1:30" ht="112.5">
      <c r="A4" s="75" t="s">
        <v>24</v>
      </c>
      <c r="B4" s="76" t="s">
        <v>32</v>
      </c>
      <c r="C4" s="76" t="s">
        <v>26</v>
      </c>
      <c r="D4" s="131"/>
      <c r="E4" s="12" t="s">
        <v>33</v>
      </c>
      <c r="F4" s="13" t="s">
        <v>34</v>
      </c>
      <c r="G4" s="14" t="s">
        <v>28</v>
      </c>
      <c r="H4" s="15" t="s">
        <v>35</v>
      </c>
      <c r="I4" s="16">
        <v>220923</v>
      </c>
      <c r="J4" s="16">
        <v>5</v>
      </c>
      <c r="K4" s="17" t="str">
        <f t="shared" si="0"/>
        <v>01a_info_no-ac_435x580_пвх_220923_v5</v>
      </c>
      <c r="L4" s="18" t="s">
        <v>336</v>
      </c>
      <c r="M4" s="18" t="s">
        <v>36</v>
      </c>
      <c r="N4" s="19" t="s">
        <v>37</v>
      </c>
      <c r="O4" s="78">
        <v>1</v>
      </c>
      <c r="P4" s="78">
        <v>1</v>
      </c>
      <c r="Q4" s="78"/>
      <c r="R4" s="78"/>
      <c r="S4" s="78"/>
      <c r="T4" s="78"/>
      <c r="U4" s="78"/>
      <c r="V4" s="78"/>
      <c r="W4" s="78"/>
      <c r="X4" s="1"/>
      <c r="Y4" s="1"/>
      <c r="Z4" s="1">
        <v>40</v>
      </c>
      <c r="AA4" s="1"/>
      <c r="AB4" s="1"/>
      <c r="AC4" s="20">
        <f t="shared" si="1"/>
        <v>40</v>
      </c>
      <c r="AD4" s="105" t="s">
        <v>366</v>
      </c>
    </row>
    <row r="5" spans="1:30" ht="78.75">
      <c r="A5" s="75" t="s">
        <v>38</v>
      </c>
      <c r="B5" s="79" t="s">
        <v>39</v>
      </c>
      <c r="C5" s="76" t="s">
        <v>40</v>
      </c>
      <c r="D5" s="131"/>
      <c r="E5" s="12" t="s">
        <v>38</v>
      </c>
      <c r="F5" s="13" t="s">
        <v>41</v>
      </c>
      <c r="G5" s="21" t="s">
        <v>42</v>
      </c>
      <c r="H5" s="15"/>
      <c r="I5" s="16">
        <v>220627</v>
      </c>
      <c r="J5" s="16">
        <v>3</v>
      </c>
      <c r="K5" s="17" t="str">
        <f t="shared" si="0"/>
        <v>02_voditel_380x80_220627_v3</v>
      </c>
      <c r="L5" s="18" t="s">
        <v>43</v>
      </c>
      <c r="M5" s="18" t="s">
        <v>44</v>
      </c>
      <c r="N5" s="19" t="s">
        <v>342</v>
      </c>
      <c r="O5" s="78">
        <v>1</v>
      </c>
      <c r="P5" s="78">
        <v>1</v>
      </c>
      <c r="Q5" s="78">
        <v>1</v>
      </c>
      <c r="R5" s="78">
        <v>1</v>
      </c>
      <c r="S5" s="78">
        <v>1</v>
      </c>
      <c r="T5" s="78">
        <v>1</v>
      </c>
      <c r="U5" s="78">
        <v>1</v>
      </c>
      <c r="V5" s="78">
        <v>1</v>
      </c>
      <c r="W5" s="78">
        <v>1</v>
      </c>
      <c r="X5" s="1">
        <v>200</v>
      </c>
      <c r="Y5" s="1">
        <v>150</v>
      </c>
      <c r="Z5" s="1"/>
      <c r="AA5" s="1">
        <v>100</v>
      </c>
      <c r="AB5" s="1">
        <v>200</v>
      </c>
      <c r="AC5" s="20">
        <f t="shared" si="1"/>
        <v>650</v>
      </c>
      <c r="AD5" s="106" t="s">
        <v>45</v>
      </c>
    </row>
    <row r="6" spans="1:30" ht="78.75">
      <c r="A6" s="75" t="s">
        <v>38</v>
      </c>
      <c r="B6" s="79" t="s">
        <v>39</v>
      </c>
      <c r="C6" s="76" t="s">
        <v>40</v>
      </c>
      <c r="D6" s="131"/>
      <c r="E6" s="12" t="s">
        <v>363</v>
      </c>
      <c r="F6" s="13" t="s">
        <v>41</v>
      </c>
      <c r="G6" s="21" t="s">
        <v>42</v>
      </c>
      <c r="H6" s="15"/>
      <c r="I6" s="16">
        <v>250827</v>
      </c>
      <c r="J6" s="16">
        <v>4</v>
      </c>
      <c r="K6" s="17" t="str">
        <f>CONCATENATE(D6,E6,"_",F6,"_",G6,H6,"_",I6,"_v",J6)</f>
        <v>02a_voditel_380x80_250827_v4</v>
      </c>
      <c r="L6" s="18" t="s">
        <v>364</v>
      </c>
      <c r="M6" s="18" t="s">
        <v>44</v>
      </c>
      <c r="N6" s="19" t="s">
        <v>342</v>
      </c>
      <c r="O6" s="78">
        <v>1</v>
      </c>
      <c r="P6" s="78">
        <v>1</v>
      </c>
      <c r="Q6" s="78">
        <v>1</v>
      </c>
      <c r="R6" s="78">
        <v>1</v>
      </c>
      <c r="S6" s="78">
        <v>1</v>
      </c>
      <c r="T6" s="78">
        <v>1</v>
      </c>
      <c r="U6" s="78">
        <v>1</v>
      </c>
      <c r="V6" s="78">
        <v>1</v>
      </c>
      <c r="W6" s="78">
        <v>1</v>
      </c>
      <c r="X6" s="1">
        <v>200</v>
      </c>
      <c r="Y6" s="1"/>
      <c r="Z6" s="1"/>
      <c r="AA6" s="1">
        <v>200</v>
      </c>
      <c r="AB6" s="1"/>
      <c r="AC6" s="20">
        <f t="shared" si="1"/>
        <v>400</v>
      </c>
      <c r="AD6" s="107" t="s">
        <v>381</v>
      </c>
    </row>
    <row r="7" spans="1:30" ht="45">
      <c r="A7" s="75"/>
      <c r="B7" s="79"/>
      <c r="C7" s="76"/>
      <c r="D7" s="131"/>
      <c r="E7" s="12" t="s">
        <v>340</v>
      </c>
      <c r="F7" s="13"/>
      <c r="G7" s="21" t="s">
        <v>345</v>
      </c>
      <c r="H7" s="15"/>
      <c r="I7" s="16"/>
      <c r="J7" s="16"/>
      <c r="K7" s="17" t="s">
        <v>344</v>
      </c>
      <c r="L7" s="18" t="s">
        <v>349</v>
      </c>
      <c r="M7" s="18"/>
      <c r="N7" s="19" t="s">
        <v>342</v>
      </c>
      <c r="O7" s="78"/>
      <c r="P7" s="78"/>
      <c r="Q7" s="78"/>
      <c r="R7" s="78"/>
      <c r="S7" s="78"/>
      <c r="T7" s="78"/>
      <c r="U7" s="78"/>
      <c r="V7" s="78"/>
      <c r="W7" s="78"/>
      <c r="X7" s="1">
        <v>200</v>
      </c>
      <c r="Y7" s="1"/>
      <c r="Z7" s="1">
        <v>150</v>
      </c>
      <c r="AA7" s="1">
        <v>250</v>
      </c>
      <c r="AB7" s="1">
        <v>450</v>
      </c>
      <c r="AC7" s="20">
        <f t="shared" si="1"/>
        <v>1050</v>
      </c>
      <c r="AD7" s="108" t="s">
        <v>343</v>
      </c>
    </row>
    <row r="8" spans="1:30" ht="45">
      <c r="A8" s="75"/>
      <c r="B8" s="79"/>
      <c r="C8" s="76"/>
      <c r="D8" s="131"/>
      <c r="E8" s="12" t="s">
        <v>341</v>
      </c>
      <c r="F8" s="13"/>
      <c r="G8" s="21" t="s">
        <v>348</v>
      </c>
      <c r="H8" s="15"/>
      <c r="I8" s="16"/>
      <c r="J8" s="16"/>
      <c r="K8" s="17" t="s">
        <v>347</v>
      </c>
      <c r="L8" s="18" t="s">
        <v>386</v>
      </c>
      <c r="M8" s="18"/>
      <c r="N8" s="19" t="s">
        <v>342</v>
      </c>
      <c r="O8" s="78"/>
      <c r="P8" s="78"/>
      <c r="Q8" s="78"/>
      <c r="R8" s="78"/>
      <c r="S8" s="78"/>
      <c r="T8" s="78"/>
      <c r="U8" s="78"/>
      <c r="V8" s="78"/>
      <c r="W8" s="78"/>
      <c r="X8" s="1">
        <v>200</v>
      </c>
      <c r="Y8" s="1"/>
      <c r="Z8" s="1"/>
      <c r="AA8" s="1"/>
      <c r="AB8" s="1"/>
      <c r="AC8" s="20">
        <f t="shared" si="1"/>
        <v>200</v>
      </c>
      <c r="AD8" s="108" t="s">
        <v>346</v>
      </c>
    </row>
    <row r="9" spans="1:30" ht="168.75">
      <c r="A9" s="80"/>
      <c r="B9" s="76" t="s">
        <v>52</v>
      </c>
      <c r="C9" s="76" t="s">
        <v>46</v>
      </c>
      <c r="D9" s="131"/>
      <c r="E9" s="12" t="s">
        <v>53</v>
      </c>
      <c r="F9" s="13" t="s">
        <v>54</v>
      </c>
      <c r="G9" s="22" t="s">
        <v>47</v>
      </c>
      <c r="H9" s="23" t="s">
        <v>48</v>
      </c>
      <c r="I9" s="16">
        <v>220615</v>
      </c>
      <c r="J9" s="16">
        <v>3</v>
      </c>
      <c r="K9" s="17" t="s">
        <v>352</v>
      </c>
      <c r="L9" s="18" t="s">
        <v>49</v>
      </c>
      <c r="M9" s="18" t="s">
        <v>55</v>
      </c>
      <c r="N9" s="19" t="s">
        <v>51</v>
      </c>
      <c r="O9" s="77"/>
      <c r="P9" s="77"/>
      <c r="Q9" s="78">
        <v>2</v>
      </c>
      <c r="R9" s="78">
        <v>4</v>
      </c>
      <c r="S9" s="78">
        <v>4</v>
      </c>
      <c r="T9" s="78">
        <v>4</v>
      </c>
      <c r="U9" s="78">
        <v>4</v>
      </c>
      <c r="V9" s="78">
        <v>4</v>
      </c>
      <c r="W9" s="78">
        <v>3</v>
      </c>
      <c r="X9" s="1">
        <v>200</v>
      </c>
      <c r="Y9" s="1">
        <v>150</v>
      </c>
      <c r="Z9" s="1">
        <v>200</v>
      </c>
      <c r="AA9" s="1">
        <v>650</v>
      </c>
      <c r="AB9" s="1">
        <v>650</v>
      </c>
      <c r="AC9" s="20">
        <f t="shared" si="1"/>
        <v>1850</v>
      </c>
      <c r="AD9" s="108" t="s">
        <v>350</v>
      </c>
    </row>
    <row r="10" spans="1:30" ht="168.75">
      <c r="A10" s="80"/>
      <c r="B10" s="76" t="s">
        <v>56</v>
      </c>
      <c r="C10" s="76" t="s">
        <v>57</v>
      </c>
      <c r="D10" s="131"/>
      <c r="E10" s="12" t="s">
        <v>58</v>
      </c>
      <c r="F10" s="13" t="s">
        <v>54</v>
      </c>
      <c r="G10" s="22" t="s">
        <v>59</v>
      </c>
      <c r="H10" s="23" t="s">
        <v>48</v>
      </c>
      <c r="I10" s="16">
        <v>220615</v>
      </c>
      <c r="J10" s="16">
        <v>3</v>
      </c>
      <c r="K10" s="17" t="s">
        <v>353</v>
      </c>
      <c r="L10" s="18" t="s">
        <v>49</v>
      </c>
      <c r="M10" s="18" t="s">
        <v>60</v>
      </c>
      <c r="N10" s="19" t="s">
        <v>51</v>
      </c>
      <c r="O10" s="78">
        <v>4</v>
      </c>
      <c r="P10" s="78">
        <v>4</v>
      </c>
      <c r="Q10" s="78"/>
      <c r="R10" s="78"/>
      <c r="S10" s="78"/>
      <c r="T10" s="77"/>
      <c r="U10" s="78"/>
      <c r="V10" s="78"/>
      <c r="W10" s="78"/>
      <c r="X10" s="1">
        <v>200</v>
      </c>
      <c r="Y10" s="1"/>
      <c r="Z10" s="1"/>
      <c r="AA10" s="1"/>
      <c r="AB10" s="1"/>
      <c r="AC10" s="20">
        <f t="shared" si="1"/>
        <v>200</v>
      </c>
      <c r="AD10" s="108" t="s">
        <v>351</v>
      </c>
    </row>
    <row r="11" spans="1:30" ht="56.25">
      <c r="A11" s="75" t="s">
        <v>61</v>
      </c>
      <c r="B11" s="79" t="s">
        <v>62</v>
      </c>
      <c r="C11" s="76" t="s">
        <v>63</v>
      </c>
      <c r="D11" s="131"/>
      <c r="E11" s="12" t="s">
        <v>61</v>
      </c>
      <c r="F11" s="13" t="s">
        <v>64</v>
      </c>
      <c r="G11" s="21" t="s">
        <v>63</v>
      </c>
      <c r="H11" s="15"/>
      <c r="I11" s="16">
        <v>220531</v>
      </c>
      <c r="J11" s="16">
        <v>2</v>
      </c>
      <c r="K11" s="17" t="str">
        <f t="shared" ref="K11:K16" si="2">CONCATENATE(D11,E11,"_",F11,"_",G11,H11,"_",I11,"_v",J11)</f>
        <v>06_ognet_90x90_220531_v2</v>
      </c>
      <c r="L11" s="18" t="s">
        <v>65</v>
      </c>
      <c r="M11" s="18"/>
      <c r="N11" s="19" t="s">
        <v>31</v>
      </c>
      <c r="O11" s="78">
        <v>2</v>
      </c>
      <c r="P11" s="78">
        <v>2</v>
      </c>
      <c r="Q11" s="78">
        <v>3</v>
      </c>
      <c r="R11" s="78">
        <v>3</v>
      </c>
      <c r="S11" s="78">
        <v>3</v>
      </c>
      <c r="T11" s="78">
        <v>3</v>
      </c>
      <c r="U11" s="78">
        <v>3</v>
      </c>
      <c r="V11" s="78">
        <v>3</v>
      </c>
      <c r="W11" s="78">
        <v>2</v>
      </c>
      <c r="X11" s="1">
        <v>200</v>
      </c>
      <c r="Y11" s="1">
        <v>300</v>
      </c>
      <c r="Z11" s="1">
        <v>150</v>
      </c>
      <c r="AA11" s="1">
        <v>350</v>
      </c>
      <c r="AB11" s="1">
        <v>400</v>
      </c>
      <c r="AC11" s="20">
        <f t="shared" si="1"/>
        <v>1400</v>
      </c>
      <c r="AD11" s="106" t="s">
        <v>66</v>
      </c>
    </row>
    <row r="12" spans="1:30" ht="45">
      <c r="A12" s="75" t="s">
        <v>67</v>
      </c>
      <c r="B12" s="79" t="s">
        <v>68</v>
      </c>
      <c r="C12" s="76" t="s">
        <v>63</v>
      </c>
      <c r="D12" s="131"/>
      <c r="E12" s="12" t="s">
        <v>67</v>
      </c>
      <c r="F12" s="13" t="s">
        <v>69</v>
      </c>
      <c r="G12" s="21" t="s">
        <v>63</v>
      </c>
      <c r="H12" s="15"/>
      <c r="I12" s="16">
        <v>250929</v>
      </c>
      <c r="J12" s="16">
        <v>4</v>
      </c>
      <c r="K12" s="17" t="str">
        <f t="shared" si="2"/>
        <v>07_apt_90x90_250929_v4</v>
      </c>
      <c r="L12" s="18" t="s">
        <v>365</v>
      </c>
      <c r="M12" s="18"/>
      <c r="N12" s="19" t="s">
        <v>31</v>
      </c>
      <c r="O12" s="78">
        <v>1</v>
      </c>
      <c r="P12" s="78">
        <v>1</v>
      </c>
      <c r="Q12" s="78">
        <v>1</v>
      </c>
      <c r="R12" s="78">
        <v>1</v>
      </c>
      <c r="S12" s="78">
        <v>1</v>
      </c>
      <c r="T12" s="77">
        <v>1</v>
      </c>
      <c r="U12" s="78">
        <v>1</v>
      </c>
      <c r="V12" s="78">
        <v>1</v>
      </c>
      <c r="W12" s="78">
        <v>1</v>
      </c>
      <c r="X12" s="1">
        <v>200</v>
      </c>
      <c r="Y12" s="1">
        <v>200</v>
      </c>
      <c r="Z12" s="1">
        <v>100</v>
      </c>
      <c r="AA12" s="1">
        <v>250</v>
      </c>
      <c r="AB12" s="1">
        <v>250</v>
      </c>
      <c r="AC12" s="20">
        <f t="shared" si="1"/>
        <v>1000</v>
      </c>
      <c r="AD12" s="107" t="s">
        <v>380</v>
      </c>
    </row>
    <row r="13" spans="1:30" ht="78.75">
      <c r="A13" s="75" t="s">
        <v>70</v>
      </c>
      <c r="B13" s="79" t="s">
        <v>71</v>
      </c>
      <c r="C13" s="76" t="s">
        <v>72</v>
      </c>
      <c r="D13" s="131"/>
      <c r="E13" s="12" t="s">
        <v>70</v>
      </c>
      <c r="F13" s="13" t="s">
        <v>73</v>
      </c>
      <c r="G13" s="21" t="s">
        <v>74</v>
      </c>
      <c r="H13" s="15" t="s">
        <v>75</v>
      </c>
      <c r="I13" s="16">
        <v>220531</v>
      </c>
      <c r="J13" s="16">
        <v>2</v>
      </c>
      <c r="K13" s="17" t="str">
        <f t="shared" si="2"/>
        <v>09_zap_vyh_175x100_двухстор_220531_v2</v>
      </c>
      <c r="L13" s="18" t="s">
        <v>76</v>
      </c>
      <c r="M13" s="18"/>
      <c r="N13" s="18" t="s">
        <v>77</v>
      </c>
      <c r="O13" s="78">
        <v>3</v>
      </c>
      <c r="P13" s="78">
        <v>3</v>
      </c>
      <c r="Q13" s="78">
        <v>9</v>
      </c>
      <c r="R13" s="78">
        <v>7</v>
      </c>
      <c r="S13" s="78">
        <v>7</v>
      </c>
      <c r="T13" s="78">
        <v>7</v>
      </c>
      <c r="U13" s="78">
        <v>7</v>
      </c>
      <c r="V13" s="78">
        <v>9</v>
      </c>
      <c r="W13" s="78">
        <v>7</v>
      </c>
      <c r="X13" s="1">
        <v>300</v>
      </c>
      <c r="Y13" s="1">
        <v>500</v>
      </c>
      <c r="Z13" s="1">
        <v>500</v>
      </c>
      <c r="AA13" s="1">
        <v>550</v>
      </c>
      <c r="AB13" s="1">
        <v>500</v>
      </c>
      <c r="AC13" s="20">
        <f t="shared" si="1"/>
        <v>2350</v>
      </c>
      <c r="AD13" s="106" t="s">
        <v>78</v>
      </c>
    </row>
    <row r="14" spans="1:30" ht="57" customHeight="1">
      <c r="A14" s="75" t="s">
        <v>79</v>
      </c>
      <c r="B14" s="76" t="s">
        <v>80</v>
      </c>
      <c r="C14" s="76" t="s">
        <v>81</v>
      </c>
      <c r="D14" s="131"/>
      <c r="E14" s="12" t="s">
        <v>79</v>
      </c>
      <c r="F14" s="13" t="s">
        <v>82</v>
      </c>
      <c r="G14" s="21" t="s">
        <v>83</v>
      </c>
      <c r="H14" s="15"/>
      <c r="I14" s="16">
        <v>220823</v>
      </c>
      <c r="J14" s="16">
        <v>3</v>
      </c>
      <c r="K14" s="17" t="str">
        <f t="shared" si="2"/>
        <v>10_avar_door_60x65_220823_v3</v>
      </c>
      <c r="L14" s="18" t="s">
        <v>84</v>
      </c>
      <c r="M14" s="18" t="s">
        <v>85</v>
      </c>
      <c r="N14" s="19" t="s">
        <v>31</v>
      </c>
      <c r="O14" s="78">
        <v>8</v>
      </c>
      <c r="P14" s="78">
        <v>8</v>
      </c>
      <c r="Q14" s="77"/>
      <c r="R14" s="77"/>
      <c r="S14" s="77"/>
      <c r="T14" s="77"/>
      <c r="U14" s="77"/>
      <c r="V14" s="77"/>
      <c r="W14" s="77"/>
      <c r="X14" s="1">
        <v>300</v>
      </c>
      <c r="Y14" s="1"/>
      <c r="Z14" s="1"/>
      <c r="AA14" s="1"/>
      <c r="AB14" s="1"/>
      <c r="AC14" s="20">
        <f t="shared" si="1"/>
        <v>300</v>
      </c>
      <c r="AD14" s="106" t="s">
        <v>86</v>
      </c>
    </row>
    <row r="15" spans="1:30" ht="52.5" customHeight="1">
      <c r="A15" s="75" t="s">
        <v>79</v>
      </c>
      <c r="B15" s="76" t="s">
        <v>87</v>
      </c>
      <c r="C15" s="76" t="s">
        <v>88</v>
      </c>
      <c r="D15" s="131"/>
      <c r="E15" s="12" t="s">
        <v>89</v>
      </c>
      <c r="F15" s="13" t="s">
        <v>82</v>
      </c>
      <c r="G15" s="21" t="s">
        <v>90</v>
      </c>
      <c r="H15" s="15"/>
      <c r="I15" s="16">
        <v>220601</v>
      </c>
      <c r="J15" s="16">
        <v>2</v>
      </c>
      <c r="K15" s="17" t="str">
        <f t="shared" si="2"/>
        <v>10a_avar_door_70x75_220601_v2</v>
      </c>
      <c r="L15" s="18" t="s">
        <v>84</v>
      </c>
      <c r="M15" s="18" t="s">
        <v>91</v>
      </c>
      <c r="N15" s="19" t="s">
        <v>31</v>
      </c>
      <c r="O15" s="77"/>
      <c r="P15" s="77"/>
      <c r="Q15" s="77"/>
      <c r="R15" s="81">
        <v>6</v>
      </c>
      <c r="S15" s="81">
        <v>6</v>
      </c>
      <c r="T15" s="82">
        <v>6</v>
      </c>
      <c r="U15" s="82">
        <v>6</v>
      </c>
      <c r="V15" s="77"/>
      <c r="W15" s="77"/>
      <c r="X15" s="1">
        <v>300</v>
      </c>
      <c r="Y15" s="3">
        <v>150</v>
      </c>
      <c r="Z15" s="2">
        <v>150</v>
      </c>
      <c r="AA15" s="3">
        <v>100</v>
      </c>
      <c r="AB15" s="3">
        <v>350</v>
      </c>
      <c r="AC15" s="20">
        <f t="shared" si="1"/>
        <v>1050</v>
      </c>
      <c r="AD15" s="106" t="s">
        <v>92</v>
      </c>
    </row>
    <row r="16" spans="1:30" ht="59.25" customHeight="1">
      <c r="A16" s="75" t="s">
        <v>79</v>
      </c>
      <c r="B16" s="76" t="s">
        <v>93</v>
      </c>
      <c r="C16" s="76" t="s">
        <v>94</v>
      </c>
      <c r="D16" s="131"/>
      <c r="E16" s="12" t="s">
        <v>95</v>
      </c>
      <c r="F16" s="13" t="s">
        <v>82</v>
      </c>
      <c r="G16" s="21" t="s">
        <v>96</v>
      </c>
      <c r="H16" s="15"/>
      <c r="I16" s="16">
        <v>220601</v>
      </c>
      <c r="J16" s="16">
        <v>2</v>
      </c>
      <c r="K16" s="17" t="str">
        <f t="shared" si="2"/>
        <v>10b_avar_door_110x75_220601_v2</v>
      </c>
      <c r="L16" s="18" t="s">
        <v>84</v>
      </c>
      <c r="M16" s="18" t="s">
        <v>97</v>
      </c>
      <c r="N16" s="19" t="s">
        <v>31</v>
      </c>
      <c r="O16" s="77"/>
      <c r="P16" s="77"/>
      <c r="Q16" s="77"/>
      <c r="R16" s="82">
        <v>6</v>
      </c>
      <c r="S16" s="82">
        <v>6</v>
      </c>
      <c r="T16" s="82">
        <v>6</v>
      </c>
      <c r="U16" s="81">
        <v>6</v>
      </c>
      <c r="V16" s="78">
        <v>6</v>
      </c>
      <c r="W16" s="78">
        <v>4</v>
      </c>
      <c r="X16" s="1">
        <v>300</v>
      </c>
      <c r="Y16" s="3">
        <v>150</v>
      </c>
      <c r="Z16" s="2">
        <v>150</v>
      </c>
      <c r="AA16" s="3">
        <v>400</v>
      </c>
      <c r="AB16" s="3">
        <v>250</v>
      </c>
      <c r="AC16" s="20">
        <f t="shared" si="1"/>
        <v>1250</v>
      </c>
      <c r="AD16" s="106" t="s">
        <v>98</v>
      </c>
    </row>
    <row r="17" spans="1:30" ht="55.5" customHeight="1">
      <c r="A17" s="75" t="s">
        <v>99</v>
      </c>
      <c r="B17" s="76" t="s">
        <v>100</v>
      </c>
      <c r="C17" s="76" t="s">
        <v>101</v>
      </c>
      <c r="D17" s="131"/>
      <c r="E17" s="12" t="s">
        <v>99</v>
      </c>
      <c r="F17" s="13" t="s">
        <v>102</v>
      </c>
      <c r="G17" s="21" t="s">
        <v>356</v>
      </c>
      <c r="H17" s="15"/>
      <c r="I17" s="16">
        <v>220601</v>
      </c>
      <c r="J17" s="16">
        <v>2</v>
      </c>
      <c r="K17" s="17" t="s">
        <v>355</v>
      </c>
      <c r="L17" s="18" t="s">
        <v>339</v>
      </c>
      <c r="M17" s="18"/>
      <c r="N17" s="19" t="s">
        <v>31</v>
      </c>
      <c r="O17" s="78">
        <v>4</v>
      </c>
      <c r="P17" s="78">
        <v>4</v>
      </c>
      <c r="Q17" s="78">
        <v>4</v>
      </c>
      <c r="R17" s="78">
        <v>6</v>
      </c>
      <c r="S17" s="78">
        <v>6</v>
      </c>
      <c r="T17" s="77">
        <v>6</v>
      </c>
      <c r="U17" s="78">
        <v>6</v>
      </c>
      <c r="V17" s="78">
        <v>6</v>
      </c>
      <c r="W17" s="78">
        <v>4</v>
      </c>
      <c r="X17" s="1">
        <v>250</v>
      </c>
      <c r="Y17" s="1">
        <v>150</v>
      </c>
      <c r="Z17" s="1">
        <v>350</v>
      </c>
      <c r="AA17" s="1">
        <v>350</v>
      </c>
      <c r="AB17" s="1">
        <v>400</v>
      </c>
      <c r="AC17" s="20">
        <f t="shared" si="1"/>
        <v>1500</v>
      </c>
      <c r="AD17" s="108" t="s">
        <v>354</v>
      </c>
    </row>
    <row r="18" spans="1:30" ht="72.75" customHeight="1">
      <c r="A18" s="75" t="s">
        <v>103</v>
      </c>
      <c r="B18" s="76" t="s">
        <v>104</v>
      </c>
      <c r="C18" s="76" t="s">
        <v>105</v>
      </c>
      <c r="D18" s="131"/>
      <c r="E18" s="12" t="s">
        <v>103</v>
      </c>
      <c r="F18" s="13" t="s">
        <v>106</v>
      </c>
      <c r="G18" s="21" t="s">
        <v>107</v>
      </c>
      <c r="H18" s="15"/>
      <c r="I18" s="16">
        <v>220603</v>
      </c>
      <c r="J18" s="16">
        <v>2</v>
      </c>
      <c r="K18" s="17" t="str">
        <f t="shared" ref="K18:K60" si="3">CONCATENATE(D18,E18,"_",F18,"_",G18,H18,"_",I18,"_v",J18)</f>
        <v>13_info_invld_290x110_220603_v2</v>
      </c>
      <c r="L18" s="18" t="s">
        <v>108</v>
      </c>
      <c r="M18" s="18"/>
      <c r="N18" s="19" t="s">
        <v>31</v>
      </c>
      <c r="O18" s="77">
        <v>1</v>
      </c>
      <c r="P18" s="77">
        <v>1</v>
      </c>
      <c r="Q18" s="77">
        <v>1</v>
      </c>
      <c r="R18" s="77">
        <v>1</v>
      </c>
      <c r="S18" s="77">
        <v>1</v>
      </c>
      <c r="T18" s="77">
        <v>1</v>
      </c>
      <c r="U18" s="77">
        <v>1</v>
      </c>
      <c r="V18" s="77">
        <v>2</v>
      </c>
      <c r="W18" s="77">
        <v>1</v>
      </c>
      <c r="X18" s="1">
        <v>250</v>
      </c>
      <c r="Y18" s="1">
        <v>200</v>
      </c>
      <c r="Z18" s="1">
        <v>100</v>
      </c>
      <c r="AA18" s="1">
        <v>200</v>
      </c>
      <c r="AB18" s="1">
        <v>250</v>
      </c>
      <c r="AC18" s="20">
        <f t="shared" si="1"/>
        <v>1000</v>
      </c>
      <c r="AD18" s="123" t="s">
        <v>109</v>
      </c>
    </row>
    <row r="19" spans="1:30" ht="69" customHeight="1">
      <c r="A19" s="75" t="s">
        <v>110</v>
      </c>
      <c r="B19" s="76" t="s">
        <v>111</v>
      </c>
      <c r="C19" s="76" t="s">
        <v>63</v>
      </c>
      <c r="D19" s="131"/>
      <c r="E19" s="12" t="s">
        <v>110</v>
      </c>
      <c r="F19" s="13" t="s">
        <v>112</v>
      </c>
      <c r="G19" s="21" t="s">
        <v>63</v>
      </c>
      <c r="H19" s="15"/>
      <c r="I19" s="16">
        <v>220606</v>
      </c>
      <c r="J19" s="16">
        <v>2</v>
      </c>
      <c r="K19" s="17" t="str">
        <f t="shared" si="3"/>
        <v>14_klsk_salon_90x90_220606_v2</v>
      </c>
      <c r="L19" s="18" t="s">
        <v>113</v>
      </c>
      <c r="M19" s="18"/>
      <c r="N19" s="19" t="s">
        <v>31</v>
      </c>
      <c r="O19" s="78">
        <v>1</v>
      </c>
      <c r="P19" s="78">
        <v>1</v>
      </c>
      <c r="Q19" s="78">
        <v>1</v>
      </c>
      <c r="R19" s="78">
        <v>1</v>
      </c>
      <c r="S19" s="78">
        <v>1</v>
      </c>
      <c r="T19" s="77">
        <v>1</v>
      </c>
      <c r="U19" s="78">
        <v>2</v>
      </c>
      <c r="V19" s="78">
        <v>2</v>
      </c>
      <c r="W19" s="78">
        <v>1</v>
      </c>
      <c r="X19" s="1">
        <v>200</v>
      </c>
      <c r="Y19" s="1">
        <v>200</v>
      </c>
      <c r="Z19" s="1">
        <v>200</v>
      </c>
      <c r="AA19" s="1">
        <v>300</v>
      </c>
      <c r="AB19" s="1">
        <v>250</v>
      </c>
      <c r="AC19" s="20">
        <f t="shared" si="1"/>
        <v>1150</v>
      </c>
      <c r="AD19" s="106" t="s">
        <v>114</v>
      </c>
    </row>
    <row r="20" spans="1:30" ht="73.5" customHeight="1">
      <c r="A20" s="75" t="s">
        <v>115</v>
      </c>
      <c r="B20" s="76" t="s">
        <v>116</v>
      </c>
      <c r="C20" s="76" t="s">
        <v>63</v>
      </c>
      <c r="D20" s="131"/>
      <c r="E20" s="12" t="s">
        <v>117</v>
      </c>
      <c r="F20" s="13" t="s">
        <v>118</v>
      </c>
      <c r="G20" s="21" t="s">
        <v>63</v>
      </c>
      <c r="H20" s="15"/>
      <c r="I20" s="16">
        <v>220606</v>
      </c>
      <c r="J20" s="16">
        <v>2</v>
      </c>
      <c r="K20" s="17" t="str">
        <f t="shared" si="3"/>
        <v>15_vel_salon_90x90_220606_v2</v>
      </c>
      <c r="L20" s="18" t="s">
        <v>119</v>
      </c>
      <c r="M20" s="18"/>
      <c r="N20" s="19" t="s">
        <v>31</v>
      </c>
      <c r="O20" s="78">
        <v>1</v>
      </c>
      <c r="P20" s="78">
        <v>1</v>
      </c>
      <c r="Q20" s="78">
        <v>1</v>
      </c>
      <c r="R20" s="78">
        <v>1</v>
      </c>
      <c r="S20" s="78">
        <v>1</v>
      </c>
      <c r="T20" s="77">
        <v>1</v>
      </c>
      <c r="U20" s="78">
        <v>2</v>
      </c>
      <c r="V20" s="78">
        <v>2</v>
      </c>
      <c r="W20" s="78">
        <v>1</v>
      </c>
      <c r="X20" s="1">
        <v>250</v>
      </c>
      <c r="Y20" s="1">
        <v>200</v>
      </c>
      <c r="Z20" s="1">
        <v>200</v>
      </c>
      <c r="AA20" s="1">
        <v>300</v>
      </c>
      <c r="AB20" s="1">
        <v>300</v>
      </c>
      <c r="AC20" s="20">
        <f t="shared" si="1"/>
        <v>1250</v>
      </c>
      <c r="AD20" s="106" t="s">
        <v>120</v>
      </c>
    </row>
    <row r="21" spans="1:30" ht="75" customHeight="1">
      <c r="A21" s="75" t="s">
        <v>121</v>
      </c>
      <c r="B21" s="76" t="s">
        <v>122</v>
      </c>
      <c r="C21" s="76" t="s">
        <v>63</v>
      </c>
      <c r="D21" s="131"/>
      <c r="E21" s="12" t="s">
        <v>123</v>
      </c>
      <c r="F21" s="13" t="s">
        <v>124</v>
      </c>
      <c r="G21" s="21" t="s">
        <v>63</v>
      </c>
      <c r="H21" s="15"/>
      <c r="I21" s="16">
        <v>220606</v>
      </c>
      <c r="J21" s="16">
        <v>2</v>
      </c>
      <c r="K21" s="17" t="str">
        <f t="shared" si="3"/>
        <v>16L_pogyl_salon_lev_90x90_220606_v2</v>
      </c>
      <c r="L21" s="18" t="s">
        <v>125</v>
      </c>
      <c r="M21" s="18" t="s">
        <v>126</v>
      </c>
      <c r="N21" s="19" t="s">
        <v>31</v>
      </c>
      <c r="O21" s="78">
        <v>3</v>
      </c>
      <c r="P21" s="78">
        <v>3</v>
      </c>
      <c r="Q21" s="78">
        <v>4</v>
      </c>
      <c r="R21" s="78">
        <v>1</v>
      </c>
      <c r="S21" s="78">
        <v>1</v>
      </c>
      <c r="T21" s="78">
        <v>1</v>
      </c>
      <c r="U21" s="78">
        <v>2</v>
      </c>
      <c r="V21" s="78">
        <v>2</v>
      </c>
      <c r="W21" s="78">
        <v>3</v>
      </c>
      <c r="X21" s="1">
        <v>250</v>
      </c>
      <c r="Y21" s="1">
        <v>200</v>
      </c>
      <c r="Z21" s="1">
        <v>100</v>
      </c>
      <c r="AA21" s="1">
        <v>300</v>
      </c>
      <c r="AB21" s="1">
        <v>250</v>
      </c>
      <c r="AC21" s="20">
        <f t="shared" si="1"/>
        <v>1100</v>
      </c>
      <c r="AD21" s="106" t="s">
        <v>127</v>
      </c>
    </row>
    <row r="22" spans="1:30" ht="72.75" customHeight="1">
      <c r="A22" s="75" t="s">
        <v>117</v>
      </c>
      <c r="B22" s="76" t="s">
        <v>128</v>
      </c>
      <c r="C22" s="76" t="s">
        <v>63</v>
      </c>
      <c r="D22" s="131"/>
      <c r="E22" s="12" t="s">
        <v>129</v>
      </c>
      <c r="F22" s="13" t="s">
        <v>130</v>
      </c>
      <c r="G22" s="21" t="s">
        <v>63</v>
      </c>
      <c r="H22" s="15"/>
      <c r="I22" s="16">
        <v>220606</v>
      </c>
      <c r="J22" s="16">
        <v>2</v>
      </c>
      <c r="K22" s="17" t="str">
        <f t="shared" si="3"/>
        <v>16R_pogyl_salon_prav_90x90_220606_v2</v>
      </c>
      <c r="L22" s="18" t="s">
        <v>125</v>
      </c>
      <c r="M22" s="18" t="s">
        <v>131</v>
      </c>
      <c r="N22" s="19" t="s">
        <v>31</v>
      </c>
      <c r="O22" s="78">
        <v>2</v>
      </c>
      <c r="P22" s="78">
        <v>2</v>
      </c>
      <c r="Q22" s="78">
        <v>2</v>
      </c>
      <c r="R22" s="78">
        <v>6</v>
      </c>
      <c r="S22" s="78">
        <v>6</v>
      </c>
      <c r="T22" s="78">
        <v>6</v>
      </c>
      <c r="U22" s="78">
        <v>4</v>
      </c>
      <c r="V22" s="78">
        <v>5</v>
      </c>
      <c r="W22" s="78"/>
      <c r="X22" s="1">
        <v>200</v>
      </c>
      <c r="Y22" s="1">
        <v>200</v>
      </c>
      <c r="Z22" s="1">
        <v>100</v>
      </c>
      <c r="AA22" s="1">
        <v>250</v>
      </c>
      <c r="AB22" s="1">
        <v>250</v>
      </c>
      <c r="AC22" s="20">
        <f t="shared" si="1"/>
        <v>1000</v>
      </c>
      <c r="AD22" s="106" t="s">
        <v>132</v>
      </c>
    </row>
    <row r="23" spans="1:30" ht="64.5" customHeight="1">
      <c r="A23" s="75" t="s">
        <v>133</v>
      </c>
      <c r="B23" s="76" t="s">
        <v>134</v>
      </c>
      <c r="C23" s="76" t="s">
        <v>63</v>
      </c>
      <c r="D23" s="131"/>
      <c r="E23" s="12" t="s">
        <v>135</v>
      </c>
      <c r="F23" s="13" t="s">
        <v>136</v>
      </c>
      <c r="G23" s="21" t="s">
        <v>63</v>
      </c>
      <c r="H23" s="15"/>
      <c r="I23" s="16">
        <v>220606</v>
      </c>
      <c r="J23" s="16">
        <v>2</v>
      </c>
      <c r="K23" s="17" t="str">
        <f t="shared" si="3"/>
        <v>17L_s_det_salon_lev_90x90_220606_v2</v>
      </c>
      <c r="L23" s="18" t="s">
        <v>137</v>
      </c>
      <c r="M23" s="18" t="s">
        <v>126</v>
      </c>
      <c r="N23" s="19" t="s">
        <v>31</v>
      </c>
      <c r="O23" s="78">
        <v>2</v>
      </c>
      <c r="P23" s="78">
        <v>2</v>
      </c>
      <c r="Q23" s="78"/>
      <c r="R23" s="78"/>
      <c r="S23" s="78"/>
      <c r="T23" s="78"/>
      <c r="U23" s="78"/>
      <c r="V23" s="78"/>
      <c r="W23" s="78"/>
      <c r="X23" s="1">
        <v>225</v>
      </c>
      <c r="Y23" s="1">
        <v>200</v>
      </c>
      <c r="Z23" s="1">
        <v>75</v>
      </c>
      <c r="AA23" s="1">
        <v>200</v>
      </c>
      <c r="AB23" s="1">
        <v>200</v>
      </c>
      <c r="AC23" s="20">
        <f t="shared" si="1"/>
        <v>900</v>
      </c>
      <c r="AD23" s="106" t="s">
        <v>138</v>
      </c>
    </row>
    <row r="24" spans="1:30" ht="77.25" customHeight="1">
      <c r="A24" s="75" t="s">
        <v>139</v>
      </c>
      <c r="B24" s="76" t="s">
        <v>140</v>
      </c>
      <c r="C24" s="76" t="s">
        <v>63</v>
      </c>
      <c r="D24" s="131"/>
      <c r="E24" s="12" t="s">
        <v>141</v>
      </c>
      <c r="F24" s="13" t="s">
        <v>142</v>
      </c>
      <c r="G24" s="21" t="s">
        <v>63</v>
      </c>
      <c r="H24" s="15"/>
      <c r="I24" s="16">
        <v>220606</v>
      </c>
      <c r="J24" s="16">
        <v>2</v>
      </c>
      <c r="K24" s="17" t="str">
        <f t="shared" si="3"/>
        <v>17R_s_det_salon_prav_90x90_220606_v2</v>
      </c>
      <c r="L24" s="18" t="s">
        <v>137</v>
      </c>
      <c r="M24" s="18" t="s">
        <v>131</v>
      </c>
      <c r="N24" s="19" t="s">
        <v>31</v>
      </c>
      <c r="O24" s="78">
        <v>1</v>
      </c>
      <c r="P24" s="78">
        <v>1</v>
      </c>
      <c r="Q24" s="78">
        <v>3</v>
      </c>
      <c r="R24" s="78">
        <v>3</v>
      </c>
      <c r="S24" s="78">
        <v>3</v>
      </c>
      <c r="T24" s="78">
        <v>3</v>
      </c>
      <c r="U24" s="78">
        <v>2</v>
      </c>
      <c r="V24" s="78">
        <v>2</v>
      </c>
      <c r="W24" s="78">
        <v>1</v>
      </c>
      <c r="X24" s="1">
        <v>175</v>
      </c>
      <c r="Y24" s="1">
        <v>200</v>
      </c>
      <c r="Z24" s="1">
        <v>75</v>
      </c>
      <c r="AA24" s="1">
        <v>200</v>
      </c>
      <c r="AB24" s="1">
        <v>200</v>
      </c>
      <c r="AC24" s="20">
        <f t="shared" si="1"/>
        <v>850</v>
      </c>
      <c r="AD24" s="106" t="s">
        <v>143</v>
      </c>
    </row>
    <row r="25" spans="1:30" ht="68.25" customHeight="1">
      <c r="A25" s="75" t="s">
        <v>144</v>
      </c>
      <c r="B25" s="76" t="s">
        <v>145</v>
      </c>
      <c r="C25" s="76" t="s">
        <v>146</v>
      </c>
      <c r="D25" s="131"/>
      <c r="E25" s="12" t="s">
        <v>147</v>
      </c>
      <c r="F25" s="13" t="s">
        <v>148</v>
      </c>
      <c r="G25" s="21" t="s">
        <v>149</v>
      </c>
      <c r="H25" s="15"/>
      <c r="I25" s="16">
        <v>240219</v>
      </c>
      <c r="J25" s="16">
        <v>3</v>
      </c>
      <c r="K25" s="17" t="str">
        <f t="shared" si="3"/>
        <v>18_info_sobaka_185x110_240219_v3</v>
      </c>
      <c r="L25" s="18" t="s">
        <v>387</v>
      </c>
      <c r="M25" s="18"/>
      <c r="N25" s="19" t="s">
        <v>31</v>
      </c>
      <c r="O25" s="78">
        <v>1</v>
      </c>
      <c r="P25" s="78">
        <v>1</v>
      </c>
      <c r="Q25" s="78">
        <v>1</v>
      </c>
      <c r="R25" s="78">
        <v>1</v>
      </c>
      <c r="S25" s="78">
        <v>1</v>
      </c>
      <c r="T25" s="77">
        <v>1</v>
      </c>
      <c r="U25" s="78">
        <v>1</v>
      </c>
      <c r="V25" s="78">
        <v>1</v>
      </c>
      <c r="W25" s="78">
        <v>1</v>
      </c>
      <c r="X25" s="1">
        <v>150</v>
      </c>
      <c r="Y25" s="1">
        <v>150</v>
      </c>
      <c r="Z25" s="1">
        <v>100</v>
      </c>
      <c r="AA25" s="1">
        <v>150</v>
      </c>
      <c r="AB25" s="1">
        <v>150</v>
      </c>
      <c r="AC25" s="20">
        <f t="shared" si="1"/>
        <v>700</v>
      </c>
      <c r="AD25" s="106" t="s">
        <v>150</v>
      </c>
    </row>
    <row r="26" spans="1:30" ht="60" customHeight="1">
      <c r="A26" s="75" t="s">
        <v>147</v>
      </c>
      <c r="B26" s="79" t="s">
        <v>151</v>
      </c>
      <c r="C26" s="76" t="s">
        <v>152</v>
      </c>
      <c r="D26" s="131"/>
      <c r="E26" s="12" t="s">
        <v>153</v>
      </c>
      <c r="F26" s="13" t="s">
        <v>154</v>
      </c>
      <c r="G26" s="21" t="s">
        <v>367</v>
      </c>
      <c r="H26" s="15"/>
      <c r="I26" s="16">
        <v>250929</v>
      </c>
      <c r="J26" s="16">
        <v>4</v>
      </c>
      <c r="K26" s="17" t="str">
        <f t="shared" ref="K26" si="4">CONCATENATE(D26,E26,"_",F26,"_",G26,H26,"_",I26,"_v",J26)</f>
        <v>19_signal_70x45_250929_v4</v>
      </c>
      <c r="L26" s="18" t="s">
        <v>368</v>
      </c>
      <c r="M26" s="18"/>
      <c r="N26" s="19" t="s">
        <v>31</v>
      </c>
      <c r="O26" s="78">
        <v>2</v>
      </c>
      <c r="P26" s="78">
        <v>2</v>
      </c>
      <c r="Q26" s="78"/>
      <c r="R26" s="77">
        <v>1</v>
      </c>
      <c r="S26" s="77">
        <v>1</v>
      </c>
      <c r="T26" s="77">
        <v>1</v>
      </c>
      <c r="U26" s="77">
        <v>1</v>
      </c>
      <c r="V26" s="77">
        <v>2</v>
      </c>
      <c r="W26" s="77">
        <v>2</v>
      </c>
      <c r="X26" s="1">
        <v>150</v>
      </c>
      <c r="Y26" s="1">
        <v>150</v>
      </c>
      <c r="Z26" s="1">
        <v>100</v>
      </c>
      <c r="AA26" s="1">
        <v>150</v>
      </c>
      <c r="AB26" s="1">
        <v>150</v>
      </c>
      <c r="AC26" s="20">
        <f t="shared" ref="AC26" si="5">SUM(X26:AB26)</f>
        <v>700</v>
      </c>
      <c r="AD26" s="107" t="s">
        <v>379</v>
      </c>
    </row>
    <row r="27" spans="1:30" ht="60" customHeight="1">
      <c r="A27" s="75" t="s">
        <v>147</v>
      </c>
      <c r="B27" s="79" t="s">
        <v>151</v>
      </c>
      <c r="C27" s="76" t="s">
        <v>152</v>
      </c>
      <c r="D27" s="131"/>
      <c r="E27" s="12" t="s">
        <v>390</v>
      </c>
      <c r="F27" s="13" t="s">
        <v>154</v>
      </c>
      <c r="G27" s="21" t="s">
        <v>391</v>
      </c>
      <c r="H27" s="15"/>
      <c r="I27" s="16">
        <v>250929</v>
      </c>
      <c r="J27" s="16">
        <v>4</v>
      </c>
      <c r="K27" s="17" t="str">
        <f t="shared" si="3"/>
        <v>19a_signal_60x45_250929_v4</v>
      </c>
      <c r="L27" s="18" t="s">
        <v>368</v>
      </c>
      <c r="M27" s="18"/>
      <c r="N27" s="19" t="s">
        <v>31</v>
      </c>
      <c r="O27" s="78">
        <v>2</v>
      </c>
      <c r="P27" s="78">
        <v>2</v>
      </c>
      <c r="Q27" s="78"/>
      <c r="R27" s="77">
        <v>1</v>
      </c>
      <c r="S27" s="77">
        <v>1</v>
      </c>
      <c r="T27" s="77">
        <v>1</v>
      </c>
      <c r="U27" s="77">
        <v>1</v>
      </c>
      <c r="V27" s="77">
        <v>2</v>
      </c>
      <c r="W27" s="77">
        <v>2</v>
      </c>
      <c r="X27" s="1">
        <v>150</v>
      </c>
      <c r="Y27" s="1"/>
      <c r="Z27" s="1"/>
      <c r="AA27" s="1"/>
      <c r="AB27" s="1"/>
      <c r="AC27" s="20">
        <f t="shared" si="1"/>
        <v>150</v>
      </c>
      <c r="AD27" s="107" t="s">
        <v>392</v>
      </c>
    </row>
    <row r="28" spans="1:30" ht="60" customHeight="1">
      <c r="A28" s="75"/>
      <c r="B28" s="76"/>
      <c r="C28" s="76"/>
      <c r="D28" s="131"/>
      <c r="E28" s="12" t="s">
        <v>156</v>
      </c>
      <c r="F28" s="13" t="s">
        <v>157</v>
      </c>
      <c r="G28" s="21" t="s">
        <v>370</v>
      </c>
      <c r="H28" s="15"/>
      <c r="I28" s="16">
        <v>250929</v>
      </c>
      <c r="J28" s="16">
        <v>4</v>
      </c>
      <c r="K28" s="17" t="str">
        <f t="shared" si="3"/>
        <v>21_pomosch_chor_center_80x55_250929_v4</v>
      </c>
      <c r="L28" s="18" t="s">
        <v>159</v>
      </c>
      <c r="M28" s="18" t="s">
        <v>50</v>
      </c>
      <c r="N28" s="19" t="s">
        <v>31</v>
      </c>
      <c r="O28" s="77"/>
      <c r="P28" s="77"/>
      <c r="Q28" s="77"/>
      <c r="R28" s="77"/>
      <c r="S28" s="77"/>
      <c r="T28" s="77"/>
      <c r="U28" s="77"/>
      <c r="V28" s="77">
        <v>4</v>
      </c>
      <c r="W28" s="77">
        <v>2</v>
      </c>
      <c r="X28" s="1">
        <v>300</v>
      </c>
      <c r="Y28" s="1"/>
      <c r="Z28" s="1">
        <v>250</v>
      </c>
      <c r="AA28" s="1">
        <v>400</v>
      </c>
      <c r="AB28" s="1">
        <v>250</v>
      </c>
      <c r="AC28" s="20">
        <f t="shared" si="1"/>
        <v>1200</v>
      </c>
      <c r="AD28" s="109" t="s">
        <v>377</v>
      </c>
    </row>
    <row r="29" spans="1:30" ht="69.75" customHeight="1">
      <c r="A29" s="75" t="s">
        <v>155</v>
      </c>
      <c r="B29" s="76" t="s">
        <v>160</v>
      </c>
      <c r="C29" s="76" t="s">
        <v>158</v>
      </c>
      <c r="D29" s="131"/>
      <c r="E29" s="12" t="s">
        <v>171</v>
      </c>
      <c r="F29" s="13" t="s">
        <v>161</v>
      </c>
      <c r="G29" s="21" t="s">
        <v>370</v>
      </c>
      <c r="H29" s="15"/>
      <c r="I29" s="16">
        <v>250929</v>
      </c>
      <c r="J29" s="16">
        <v>4</v>
      </c>
      <c r="K29" s="17" t="str">
        <f t="shared" si="3"/>
        <v>22_pomosch_bel_lev_80x55_250929_v4</v>
      </c>
      <c r="L29" s="18" t="s">
        <v>369</v>
      </c>
      <c r="M29" s="18" t="s">
        <v>162</v>
      </c>
      <c r="N29" s="19" t="s">
        <v>31</v>
      </c>
      <c r="O29" s="77">
        <v>1</v>
      </c>
      <c r="P29" s="77">
        <v>1</v>
      </c>
      <c r="Q29" s="77"/>
      <c r="R29" s="77"/>
      <c r="S29" s="77"/>
      <c r="T29" s="77"/>
      <c r="U29" s="77"/>
      <c r="V29" s="77"/>
      <c r="W29" s="77"/>
      <c r="X29" s="1">
        <v>400</v>
      </c>
      <c r="Y29" s="1"/>
      <c r="Z29" s="1">
        <v>1500</v>
      </c>
      <c r="AA29" s="1">
        <v>1750</v>
      </c>
      <c r="AB29" s="1">
        <v>1000</v>
      </c>
      <c r="AC29" s="20">
        <f t="shared" si="1"/>
        <v>4650</v>
      </c>
      <c r="AD29" s="109" t="s">
        <v>378</v>
      </c>
    </row>
    <row r="30" spans="1:30" ht="57.75" customHeight="1">
      <c r="A30" s="75" t="s">
        <v>163</v>
      </c>
      <c r="B30" s="76" t="s">
        <v>164</v>
      </c>
      <c r="C30" s="76" t="s">
        <v>72</v>
      </c>
      <c r="D30" s="131"/>
      <c r="E30" s="12" t="s">
        <v>165</v>
      </c>
      <c r="F30" s="13" t="s">
        <v>166</v>
      </c>
      <c r="G30" s="21" t="s">
        <v>167</v>
      </c>
      <c r="H30" s="23" t="s">
        <v>48</v>
      </c>
      <c r="I30" s="16">
        <v>220609</v>
      </c>
      <c r="J30" s="16">
        <v>2</v>
      </c>
      <c r="K30" s="17" t="str">
        <f t="shared" si="3"/>
        <v>24_ne_prisl_205x30_прозр_220609_v2</v>
      </c>
      <c r="L30" s="18" t="s">
        <v>168</v>
      </c>
      <c r="M30" s="18" t="s">
        <v>169</v>
      </c>
      <c r="N30" s="19" t="s">
        <v>51</v>
      </c>
      <c r="O30" s="78"/>
      <c r="P30" s="78"/>
      <c r="Q30" s="78">
        <v>6</v>
      </c>
      <c r="R30" s="77">
        <v>10</v>
      </c>
      <c r="S30" s="78">
        <v>10</v>
      </c>
      <c r="T30" s="77">
        <v>10</v>
      </c>
      <c r="U30" s="78">
        <v>10</v>
      </c>
      <c r="V30" s="78">
        <v>10</v>
      </c>
      <c r="W30" s="78">
        <v>6</v>
      </c>
      <c r="X30" s="1">
        <v>400</v>
      </c>
      <c r="Y30" s="1">
        <v>150</v>
      </c>
      <c r="Z30" s="1">
        <v>200</v>
      </c>
      <c r="AA30" s="1">
        <v>350</v>
      </c>
      <c r="AB30" s="1">
        <v>500</v>
      </c>
      <c r="AC30" s="20">
        <f t="shared" si="1"/>
        <v>1600</v>
      </c>
      <c r="AD30" s="106" t="s">
        <v>170</v>
      </c>
    </row>
    <row r="31" spans="1:30" ht="70.5" customHeight="1">
      <c r="A31" s="75" t="s">
        <v>171</v>
      </c>
      <c r="B31" s="76" t="s">
        <v>172</v>
      </c>
      <c r="C31" s="76" t="s">
        <v>173</v>
      </c>
      <c r="D31" s="131"/>
      <c r="E31" s="12" t="s">
        <v>174</v>
      </c>
      <c r="F31" s="13" t="s">
        <v>166</v>
      </c>
      <c r="G31" s="21" t="s">
        <v>175</v>
      </c>
      <c r="H31" s="23" t="s">
        <v>48</v>
      </c>
      <c r="I31" s="16">
        <v>220527</v>
      </c>
      <c r="J31" s="16">
        <v>2</v>
      </c>
      <c r="K31" s="17" t="str">
        <f t="shared" si="3"/>
        <v>24a_ne_prisl_155x20_прозр_220527_v2</v>
      </c>
      <c r="L31" s="18" t="s">
        <v>176</v>
      </c>
      <c r="M31" s="18"/>
      <c r="N31" s="19" t="s">
        <v>51</v>
      </c>
      <c r="O31" s="78">
        <v>6</v>
      </c>
      <c r="P31" s="78">
        <v>6</v>
      </c>
      <c r="Q31" s="77"/>
      <c r="R31" s="77"/>
      <c r="S31" s="77"/>
      <c r="T31" s="77"/>
      <c r="U31" s="77"/>
      <c r="V31" s="77"/>
      <c r="W31" s="77"/>
      <c r="X31" s="1">
        <v>200</v>
      </c>
      <c r="Y31" s="1"/>
      <c r="Z31" s="1"/>
      <c r="AA31" s="1"/>
      <c r="AB31" s="1"/>
      <c r="AC31" s="20">
        <f t="shared" si="1"/>
        <v>200</v>
      </c>
      <c r="AD31" s="106" t="s">
        <v>177</v>
      </c>
    </row>
    <row r="32" spans="1:30" ht="52.5" customHeight="1">
      <c r="A32" s="80"/>
      <c r="B32" s="79" t="s">
        <v>181</v>
      </c>
      <c r="C32" s="76" t="s">
        <v>182</v>
      </c>
      <c r="D32" s="131"/>
      <c r="E32" s="12" t="s">
        <v>183</v>
      </c>
      <c r="F32" s="13" t="s">
        <v>184</v>
      </c>
      <c r="G32" s="22" t="s">
        <v>185</v>
      </c>
      <c r="H32" s="23" t="s">
        <v>48</v>
      </c>
      <c r="I32" s="16">
        <v>220609</v>
      </c>
      <c r="J32" s="16">
        <v>2</v>
      </c>
      <c r="K32" s="17" t="str">
        <f t="shared" si="3"/>
        <v>29a_avar_tormoz_90x42_прозр_220609_v2</v>
      </c>
      <c r="L32" s="18" t="s">
        <v>186</v>
      </c>
      <c r="M32" s="18" t="s">
        <v>187</v>
      </c>
      <c r="N32" s="19" t="s">
        <v>51</v>
      </c>
      <c r="O32" s="77"/>
      <c r="P32" s="77"/>
      <c r="Q32" s="78">
        <v>4</v>
      </c>
      <c r="R32" s="81">
        <v>6</v>
      </c>
      <c r="S32" s="81">
        <v>6</v>
      </c>
      <c r="T32" s="82">
        <v>6</v>
      </c>
      <c r="U32" s="81">
        <v>6</v>
      </c>
      <c r="V32" s="78">
        <v>6</v>
      </c>
      <c r="W32" s="78">
        <v>4</v>
      </c>
      <c r="X32" s="2">
        <v>200</v>
      </c>
      <c r="Y32" s="2">
        <v>150</v>
      </c>
      <c r="Z32" s="2">
        <v>100</v>
      </c>
      <c r="AA32" s="2">
        <v>150</v>
      </c>
      <c r="AB32" s="2">
        <v>300</v>
      </c>
      <c r="AC32" s="20">
        <f t="shared" si="1"/>
        <v>900</v>
      </c>
      <c r="AD32" s="106" t="s">
        <v>188</v>
      </c>
    </row>
    <row r="33" spans="1:30" ht="55.5" customHeight="1">
      <c r="A33" s="80"/>
      <c r="B33" s="79" t="s">
        <v>189</v>
      </c>
      <c r="C33" s="76" t="s">
        <v>190</v>
      </c>
      <c r="D33" s="131"/>
      <c r="E33" s="12" t="s">
        <v>191</v>
      </c>
      <c r="F33" s="13" t="s">
        <v>184</v>
      </c>
      <c r="G33" s="22" t="s">
        <v>192</v>
      </c>
      <c r="H33" s="23" t="s">
        <v>48</v>
      </c>
      <c r="I33" s="16">
        <v>220609</v>
      </c>
      <c r="J33" s="16">
        <v>2</v>
      </c>
      <c r="K33" s="17" t="str">
        <f t="shared" si="3"/>
        <v>29b_avar_tormoz_15x95_прозр_220609_v2</v>
      </c>
      <c r="L33" s="18" t="s">
        <v>186</v>
      </c>
      <c r="M33" s="18" t="s">
        <v>193</v>
      </c>
      <c r="N33" s="19" t="s">
        <v>51</v>
      </c>
      <c r="O33" s="77">
        <v>3</v>
      </c>
      <c r="P33" s="77">
        <v>3</v>
      </c>
      <c r="Q33" s="78"/>
      <c r="R33" s="78"/>
      <c r="S33" s="78"/>
      <c r="T33" s="77"/>
      <c r="U33" s="78"/>
      <c r="V33" s="78"/>
      <c r="W33" s="78"/>
      <c r="X33" s="2">
        <v>200</v>
      </c>
      <c r="Y33" s="1"/>
      <c r="Z33" s="1"/>
      <c r="AA33" s="1"/>
      <c r="AB33" s="1"/>
      <c r="AC33" s="20">
        <f t="shared" si="1"/>
        <v>200</v>
      </c>
      <c r="AD33" s="106" t="s">
        <v>194</v>
      </c>
    </row>
    <row r="34" spans="1:30" ht="45.75" customHeight="1">
      <c r="A34" s="80"/>
      <c r="B34" s="79"/>
      <c r="C34" s="76"/>
      <c r="D34" s="131"/>
      <c r="E34" s="12" t="s">
        <v>195</v>
      </c>
      <c r="F34" s="13" t="s">
        <v>184</v>
      </c>
      <c r="G34" s="22" t="s">
        <v>196</v>
      </c>
      <c r="H34" s="23" t="s">
        <v>48</v>
      </c>
      <c r="I34" s="16">
        <v>220716</v>
      </c>
      <c r="J34" s="16">
        <v>2</v>
      </c>
      <c r="K34" s="17" t="str">
        <f t="shared" si="3"/>
        <v>29c_avar_tormoz_50x45_прозр_220716_v2</v>
      </c>
      <c r="L34" s="18" t="s">
        <v>186</v>
      </c>
      <c r="M34" s="18" t="s">
        <v>197</v>
      </c>
      <c r="N34" s="19" t="s">
        <v>51</v>
      </c>
      <c r="O34" s="77"/>
      <c r="P34" s="77"/>
      <c r="Q34" s="78"/>
      <c r="R34" s="81">
        <v>6</v>
      </c>
      <c r="S34" s="81">
        <v>6</v>
      </c>
      <c r="T34" s="82">
        <v>6</v>
      </c>
      <c r="U34" s="81">
        <v>6</v>
      </c>
      <c r="V34" s="78"/>
      <c r="W34" s="78"/>
      <c r="X34" s="2">
        <v>200</v>
      </c>
      <c r="Y34" s="3">
        <v>150</v>
      </c>
      <c r="Z34" s="2"/>
      <c r="AA34" s="3">
        <v>50</v>
      </c>
      <c r="AB34" s="3">
        <v>300</v>
      </c>
      <c r="AC34" s="20">
        <f t="shared" si="1"/>
        <v>700</v>
      </c>
      <c r="AD34" s="106" t="s">
        <v>198</v>
      </c>
    </row>
    <row r="35" spans="1:30" ht="58.5" customHeight="1">
      <c r="A35" s="80"/>
      <c r="B35" s="79"/>
      <c r="C35" s="76"/>
      <c r="D35" s="131"/>
      <c r="E35" s="12" t="s">
        <v>357</v>
      </c>
      <c r="F35" s="13"/>
      <c r="G35" s="22" t="s">
        <v>359</v>
      </c>
      <c r="H35" s="23"/>
      <c r="I35" s="16"/>
      <c r="J35" s="16"/>
      <c r="K35" s="17" t="s">
        <v>358</v>
      </c>
      <c r="L35" s="18" t="s">
        <v>186</v>
      </c>
      <c r="M35" s="18"/>
      <c r="N35" s="19" t="s">
        <v>31</v>
      </c>
      <c r="O35" s="77"/>
      <c r="P35" s="77"/>
      <c r="Q35" s="78"/>
      <c r="R35" s="81"/>
      <c r="S35" s="81"/>
      <c r="T35" s="82"/>
      <c r="U35" s="81"/>
      <c r="V35" s="78"/>
      <c r="W35" s="78"/>
      <c r="X35" s="2">
        <v>200</v>
      </c>
      <c r="Y35" s="2"/>
      <c r="Z35" s="3">
        <v>200</v>
      </c>
      <c r="AA35" s="3"/>
      <c r="AB35" s="3"/>
      <c r="AC35" s="20">
        <f t="shared" si="1"/>
        <v>400</v>
      </c>
      <c r="AD35" s="109" t="s">
        <v>360</v>
      </c>
    </row>
    <row r="36" spans="1:30" ht="60.75" customHeight="1">
      <c r="A36" s="75" t="s">
        <v>200</v>
      </c>
      <c r="B36" s="79" t="s">
        <v>201</v>
      </c>
      <c r="C36" s="76" t="s">
        <v>199</v>
      </c>
      <c r="D36" s="131"/>
      <c r="E36" s="12" t="s">
        <v>202</v>
      </c>
      <c r="F36" s="13" t="s">
        <v>203</v>
      </c>
      <c r="G36" s="21" t="s">
        <v>204</v>
      </c>
      <c r="H36" s="15"/>
      <c r="I36" s="16">
        <v>220708</v>
      </c>
      <c r="J36" s="16">
        <v>3</v>
      </c>
      <c r="K36" s="17" t="str">
        <f t="shared" si="3"/>
        <v>31_invld_korp_390x130_220708_v3</v>
      </c>
      <c r="L36" s="18" t="s">
        <v>205</v>
      </c>
      <c r="M36" s="18"/>
      <c r="N36" s="19" t="s">
        <v>31</v>
      </c>
      <c r="O36" s="78">
        <v>1</v>
      </c>
      <c r="P36" s="78">
        <v>1</v>
      </c>
      <c r="Q36" s="78"/>
      <c r="R36" s="78"/>
      <c r="S36" s="78"/>
      <c r="T36" s="78"/>
      <c r="U36" s="78">
        <v>1</v>
      </c>
      <c r="V36" s="78"/>
      <c r="W36" s="78"/>
      <c r="X36" s="2">
        <v>200</v>
      </c>
      <c r="Y36" s="1">
        <v>150</v>
      </c>
      <c r="Z36" s="1"/>
      <c r="AA36" s="1">
        <v>150</v>
      </c>
      <c r="AB36" s="1">
        <v>100</v>
      </c>
      <c r="AC36" s="20">
        <f t="shared" si="1"/>
        <v>600</v>
      </c>
      <c r="AD36" s="106" t="s">
        <v>206</v>
      </c>
    </row>
    <row r="37" spans="1:30" ht="74.25" customHeight="1">
      <c r="A37" s="75" t="s">
        <v>207</v>
      </c>
      <c r="B37" s="79" t="s">
        <v>208</v>
      </c>
      <c r="C37" s="76" t="s">
        <v>199</v>
      </c>
      <c r="D37" s="131"/>
      <c r="E37" s="12" t="s">
        <v>209</v>
      </c>
      <c r="F37" s="13" t="s">
        <v>210</v>
      </c>
      <c r="G37" s="21" t="s">
        <v>211</v>
      </c>
      <c r="H37" s="15"/>
      <c r="I37" s="16">
        <v>220708</v>
      </c>
      <c r="J37" s="16">
        <v>3</v>
      </c>
      <c r="K37" s="17" t="str">
        <f t="shared" si="3"/>
        <v>32_klsk_korp_520x130_220708_v3</v>
      </c>
      <c r="L37" s="18" t="s">
        <v>212</v>
      </c>
      <c r="M37" s="18"/>
      <c r="N37" s="19" t="s">
        <v>213</v>
      </c>
      <c r="O37" s="78">
        <v>1</v>
      </c>
      <c r="P37" s="78">
        <v>1</v>
      </c>
      <c r="Q37" s="78">
        <v>1</v>
      </c>
      <c r="R37" s="78">
        <v>1</v>
      </c>
      <c r="S37" s="78">
        <v>1</v>
      </c>
      <c r="T37" s="78">
        <v>1</v>
      </c>
      <c r="U37" s="78">
        <v>1</v>
      </c>
      <c r="V37" s="78">
        <v>2</v>
      </c>
      <c r="W37" s="78">
        <v>1</v>
      </c>
      <c r="X37" s="2">
        <v>200</v>
      </c>
      <c r="Y37" s="1">
        <v>150</v>
      </c>
      <c r="Z37" s="1">
        <v>100</v>
      </c>
      <c r="AA37" s="1">
        <v>350</v>
      </c>
      <c r="AB37" s="1">
        <v>350</v>
      </c>
      <c r="AC37" s="20">
        <f t="shared" si="1"/>
        <v>1150</v>
      </c>
      <c r="AD37" s="123" t="s">
        <v>214</v>
      </c>
    </row>
    <row r="38" spans="1:30" ht="101.25">
      <c r="A38" s="75" t="s">
        <v>202</v>
      </c>
      <c r="B38" s="79" t="s">
        <v>215</v>
      </c>
      <c r="C38" s="76" t="s">
        <v>216</v>
      </c>
      <c r="D38" s="131"/>
      <c r="E38" s="12" t="s">
        <v>217</v>
      </c>
      <c r="F38" s="13" t="s">
        <v>218</v>
      </c>
      <c r="G38" s="21" t="s">
        <v>216</v>
      </c>
      <c r="H38" s="15" t="s">
        <v>219</v>
      </c>
      <c r="I38" s="16">
        <v>220609</v>
      </c>
      <c r="J38" s="16">
        <v>2</v>
      </c>
      <c r="K38" s="17" t="str">
        <f t="shared" si="3"/>
        <v>34_klsk_dver_248x302_резка_220609_v2</v>
      </c>
      <c r="L38" s="18" t="s">
        <v>220</v>
      </c>
      <c r="M38" s="18"/>
      <c r="N38" s="24" t="s">
        <v>221</v>
      </c>
      <c r="O38" s="77"/>
      <c r="P38" s="77"/>
      <c r="Q38" s="78">
        <v>1</v>
      </c>
      <c r="R38" s="78">
        <v>1</v>
      </c>
      <c r="S38" s="78">
        <v>1</v>
      </c>
      <c r="T38" s="78">
        <v>1</v>
      </c>
      <c r="U38" s="78">
        <v>2</v>
      </c>
      <c r="V38" s="78">
        <v>2</v>
      </c>
      <c r="W38" s="78">
        <v>1</v>
      </c>
      <c r="X38" s="1">
        <v>120</v>
      </c>
      <c r="Y38" s="1">
        <v>150</v>
      </c>
      <c r="Z38" s="1">
        <v>100</v>
      </c>
      <c r="AA38" s="1">
        <v>150</v>
      </c>
      <c r="AB38" s="1">
        <v>200</v>
      </c>
      <c r="AC38" s="20">
        <f t="shared" si="1"/>
        <v>720</v>
      </c>
      <c r="AD38" s="106" t="s">
        <v>222</v>
      </c>
    </row>
    <row r="39" spans="1:30" ht="112.5">
      <c r="A39" s="75" t="s">
        <v>209</v>
      </c>
      <c r="B39" s="79" t="s">
        <v>223</v>
      </c>
      <c r="C39" s="76" t="s">
        <v>224</v>
      </c>
      <c r="D39" s="131"/>
      <c r="E39" s="12" t="s">
        <v>225</v>
      </c>
      <c r="F39" s="13" t="s">
        <v>226</v>
      </c>
      <c r="G39" s="21" t="s">
        <v>224</v>
      </c>
      <c r="H39" s="15" t="s">
        <v>219</v>
      </c>
      <c r="I39" s="16">
        <v>220609</v>
      </c>
      <c r="J39" s="16">
        <v>2</v>
      </c>
      <c r="K39" s="17" t="str">
        <f t="shared" si="3"/>
        <v>35_invld_dver_262x319_резка_220609_v2</v>
      </c>
      <c r="L39" s="18" t="s">
        <v>227</v>
      </c>
      <c r="M39" s="18"/>
      <c r="N39" s="24" t="s">
        <v>221</v>
      </c>
      <c r="O39" s="77"/>
      <c r="P39" s="77"/>
      <c r="Q39" s="78">
        <v>1</v>
      </c>
      <c r="R39" s="78">
        <v>1</v>
      </c>
      <c r="S39" s="78">
        <v>1</v>
      </c>
      <c r="T39" s="78">
        <v>1</v>
      </c>
      <c r="U39" s="78">
        <v>1</v>
      </c>
      <c r="V39" s="78">
        <v>2</v>
      </c>
      <c r="W39" s="78">
        <v>1</v>
      </c>
      <c r="X39" s="1">
        <v>120</v>
      </c>
      <c r="Y39" s="1">
        <v>150</v>
      </c>
      <c r="Z39" s="1">
        <v>100</v>
      </c>
      <c r="AA39" s="1">
        <v>150</v>
      </c>
      <c r="AB39" s="1">
        <v>200</v>
      </c>
      <c r="AC39" s="20">
        <f t="shared" si="1"/>
        <v>720</v>
      </c>
      <c r="AD39" s="106" t="s">
        <v>228</v>
      </c>
    </row>
    <row r="40" spans="1:30" ht="51.75" customHeight="1">
      <c r="A40" s="75" t="s">
        <v>229</v>
      </c>
      <c r="B40" s="79" t="s">
        <v>230</v>
      </c>
      <c r="C40" s="76" t="s">
        <v>231</v>
      </c>
      <c r="D40" s="131"/>
      <c r="E40" s="12" t="s">
        <v>232</v>
      </c>
      <c r="F40" s="13" t="s">
        <v>233</v>
      </c>
      <c r="G40" s="21" t="s">
        <v>234</v>
      </c>
      <c r="H40" s="15" t="s">
        <v>219</v>
      </c>
      <c r="I40" s="16">
        <v>220609</v>
      </c>
      <c r="J40" s="16">
        <v>2</v>
      </c>
      <c r="K40" s="17" t="str">
        <f t="shared" si="3"/>
        <v>36_vel_dver_400x252_резка_220609_v2</v>
      </c>
      <c r="L40" s="18" t="s">
        <v>235</v>
      </c>
      <c r="M40" s="18"/>
      <c r="N40" s="24" t="s">
        <v>221</v>
      </c>
      <c r="O40" s="77"/>
      <c r="P40" s="77"/>
      <c r="Q40" s="78"/>
      <c r="R40" s="78"/>
      <c r="S40" s="78"/>
      <c r="T40" s="78"/>
      <c r="U40" s="78">
        <v>1</v>
      </c>
      <c r="V40" s="78"/>
      <c r="W40" s="78"/>
      <c r="X40" s="1">
        <v>120</v>
      </c>
      <c r="Y40" s="1">
        <v>150</v>
      </c>
      <c r="Z40" s="1">
        <v>50</v>
      </c>
      <c r="AA40" s="1">
        <v>150</v>
      </c>
      <c r="AB40" s="1">
        <v>100</v>
      </c>
      <c r="AC40" s="20">
        <f t="shared" si="1"/>
        <v>570</v>
      </c>
      <c r="AD40" s="106" t="s">
        <v>236</v>
      </c>
    </row>
    <row r="41" spans="1:30" ht="56.25" customHeight="1">
      <c r="A41" s="75" t="s">
        <v>217</v>
      </c>
      <c r="B41" s="76" t="s">
        <v>237</v>
      </c>
      <c r="C41" s="76" t="s">
        <v>238</v>
      </c>
      <c r="D41" s="131"/>
      <c r="E41" s="12" t="s">
        <v>239</v>
      </c>
      <c r="F41" s="13" t="s">
        <v>240</v>
      </c>
      <c r="G41" s="21" t="s">
        <v>241</v>
      </c>
      <c r="H41" s="23" t="s">
        <v>48</v>
      </c>
      <c r="I41" s="16">
        <v>220708</v>
      </c>
      <c r="J41" s="16">
        <v>3</v>
      </c>
      <c r="K41" s="17" t="str">
        <f t="shared" si="3"/>
        <v>37a_MT_logo_full_red_490x142_прозр_220708_v3</v>
      </c>
      <c r="L41" s="18" t="s">
        <v>242</v>
      </c>
      <c r="M41" s="18" t="s">
        <v>243</v>
      </c>
      <c r="N41" s="19" t="s">
        <v>388</v>
      </c>
      <c r="O41" s="77"/>
      <c r="P41" s="77"/>
      <c r="Q41" s="77"/>
      <c r="R41" s="77">
        <v>1</v>
      </c>
      <c r="S41" s="77"/>
      <c r="T41" s="77">
        <v>1</v>
      </c>
      <c r="U41" s="77">
        <v>1</v>
      </c>
      <c r="V41" s="77">
        <v>1</v>
      </c>
      <c r="W41" s="77">
        <v>1</v>
      </c>
      <c r="X41" s="1">
        <v>75</v>
      </c>
      <c r="Y41" s="1"/>
      <c r="Z41" s="1">
        <v>75</v>
      </c>
      <c r="AA41" s="1">
        <v>200</v>
      </c>
      <c r="AB41" s="1">
        <v>300</v>
      </c>
      <c r="AC41" s="20">
        <f t="shared" si="1"/>
        <v>650</v>
      </c>
      <c r="AD41" s="106" t="s">
        <v>244</v>
      </c>
    </row>
    <row r="42" spans="1:30" ht="48.75" customHeight="1">
      <c r="A42" s="75" t="s">
        <v>217</v>
      </c>
      <c r="B42" s="76" t="s">
        <v>245</v>
      </c>
      <c r="C42" s="76" t="s">
        <v>238</v>
      </c>
      <c r="D42" s="131"/>
      <c r="E42" s="12" t="s">
        <v>246</v>
      </c>
      <c r="F42" s="13" t="s">
        <v>247</v>
      </c>
      <c r="G42" s="21" t="s">
        <v>241</v>
      </c>
      <c r="H42" s="23" t="s">
        <v>48</v>
      </c>
      <c r="I42" s="16">
        <v>220609</v>
      </c>
      <c r="J42" s="16">
        <v>2</v>
      </c>
      <c r="K42" s="17" t="str">
        <f t="shared" si="3"/>
        <v>37b_MT_logo_full_white_490x142_прозр_220609_v2</v>
      </c>
      <c r="L42" s="18" t="s">
        <v>242</v>
      </c>
      <c r="M42" s="18" t="s">
        <v>55</v>
      </c>
      <c r="N42" s="19" t="s">
        <v>389</v>
      </c>
      <c r="O42" s="77">
        <v>1</v>
      </c>
      <c r="P42" s="77">
        <v>1</v>
      </c>
      <c r="Q42" s="77">
        <v>1</v>
      </c>
      <c r="R42" s="77"/>
      <c r="S42" s="77">
        <v>1</v>
      </c>
      <c r="T42" s="77"/>
      <c r="U42" s="77"/>
      <c r="V42" s="77"/>
      <c r="W42" s="77"/>
      <c r="X42" s="1">
        <v>60</v>
      </c>
      <c r="Y42" s="1">
        <v>140</v>
      </c>
      <c r="Z42" s="1">
        <v>75</v>
      </c>
      <c r="AA42" s="1">
        <v>60</v>
      </c>
      <c r="AB42" s="1">
        <v>250</v>
      </c>
      <c r="AC42" s="20">
        <f t="shared" si="1"/>
        <v>585</v>
      </c>
      <c r="AD42" s="109" t="s">
        <v>376</v>
      </c>
    </row>
    <row r="43" spans="1:30" ht="43.5" customHeight="1">
      <c r="A43" s="75" t="s">
        <v>225</v>
      </c>
      <c r="B43" s="76" t="s">
        <v>248</v>
      </c>
      <c r="C43" s="76" t="s">
        <v>249</v>
      </c>
      <c r="D43" s="131"/>
      <c r="E43" s="12" t="s">
        <v>250</v>
      </c>
      <c r="F43" s="13" t="s">
        <v>251</v>
      </c>
      <c r="G43" s="21" t="s">
        <v>252</v>
      </c>
      <c r="H43" s="15" t="s">
        <v>219</v>
      </c>
      <c r="I43" s="16">
        <v>220708</v>
      </c>
      <c r="J43" s="16">
        <v>3</v>
      </c>
      <c r="K43" s="17" t="str">
        <f t="shared" si="3"/>
        <v>38_MT_logo_white_165x200_резка_220708_v3</v>
      </c>
      <c r="L43" s="18" t="s">
        <v>253</v>
      </c>
      <c r="M43" s="18" t="s">
        <v>254</v>
      </c>
      <c r="N43" s="24" t="s">
        <v>221</v>
      </c>
      <c r="O43" s="78"/>
      <c r="P43" s="78"/>
      <c r="Q43" s="77"/>
      <c r="R43" s="77"/>
      <c r="S43" s="77"/>
      <c r="T43" s="77"/>
      <c r="U43" s="77"/>
      <c r="V43" s="77"/>
      <c r="W43" s="77"/>
      <c r="X43" s="1">
        <v>50</v>
      </c>
      <c r="Y43" s="1"/>
      <c r="Z43" s="1"/>
      <c r="AA43" s="1"/>
      <c r="AB43" s="1"/>
      <c r="AC43" s="20">
        <f t="shared" si="1"/>
        <v>50</v>
      </c>
      <c r="AD43" s="106" t="s">
        <v>255</v>
      </c>
    </row>
    <row r="44" spans="1:30" ht="41.25" customHeight="1">
      <c r="A44" s="75" t="s">
        <v>225</v>
      </c>
      <c r="B44" s="76" t="s">
        <v>248</v>
      </c>
      <c r="C44" s="76" t="s">
        <v>249</v>
      </c>
      <c r="D44" s="131"/>
      <c r="E44" s="12" t="s">
        <v>256</v>
      </c>
      <c r="F44" s="13" t="s">
        <v>251</v>
      </c>
      <c r="G44" s="21" t="s">
        <v>249</v>
      </c>
      <c r="H44" s="15" t="s">
        <v>219</v>
      </c>
      <c r="I44" s="16">
        <v>220609</v>
      </c>
      <c r="J44" s="16">
        <v>2</v>
      </c>
      <c r="K44" s="17" t="str">
        <f t="shared" si="3"/>
        <v>38a_MT_logo_white_205x240_резка_220609_v2</v>
      </c>
      <c r="L44" s="18" t="s">
        <v>253</v>
      </c>
      <c r="M44" s="18" t="s">
        <v>257</v>
      </c>
      <c r="N44" s="24" t="s">
        <v>221</v>
      </c>
      <c r="O44" s="78">
        <v>1</v>
      </c>
      <c r="P44" s="78">
        <v>1</v>
      </c>
      <c r="Q44" s="77"/>
      <c r="R44" s="77">
        <v>1</v>
      </c>
      <c r="S44" s="77">
        <v>1</v>
      </c>
      <c r="T44" s="77">
        <v>1</v>
      </c>
      <c r="U44" s="77">
        <v>1</v>
      </c>
      <c r="V44" s="77"/>
      <c r="W44" s="77"/>
      <c r="X44" s="1">
        <v>50</v>
      </c>
      <c r="Y44" s="1">
        <v>140</v>
      </c>
      <c r="Z44" s="1">
        <v>100</v>
      </c>
      <c r="AA44" s="1">
        <v>200</v>
      </c>
      <c r="AB44" s="1">
        <v>200</v>
      </c>
      <c r="AC44" s="20">
        <f t="shared" si="1"/>
        <v>690</v>
      </c>
      <c r="AD44" s="106" t="s">
        <v>258</v>
      </c>
    </row>
    <row r="45" spans="1:30" ht="46.5" customHeight="1">
      <c r="A45" s="75" t="s">
        <v>232</v>
      </c>
      <c r="B45" s="76" t="s">
        <v>259</v>
      </c>
      <c r="C45" s="76" t="s">
        <v>260</v>
      </c>
      <c r="D45" s="131"/>
      <c r="E45" s="12" t="s">
        <v>261</v>
      </c>
      <c r="F45" s="13" t="s">
        <v>262</v>
      </c>
      <c r="G45" s="21" t="s">
        <v>260</v>
      </c>
      <c r="H45" s="15" t="s">
        <v>263</v>
      </c>
      <c r="I45" s="16">
        <v>220609</v>
      </c>
      <c r="J45" s="16">
        <v>2</v>
      </c>
      <c r="K45" s="17" t="str">
        <f t="shared" si="3"/>
        <v>39a_MM_logo_red_380x340_резка_кра_220609_v2</v>
      </c>
      <c r="L45" s="18" t="s">
        <v>264</v>
      </c>
      <c r="M45" s="18" t="s">
        <v>265</v>
      </c>
      <c r="N45" s="18" t="s">
        <v>266</v>
      </c>
      <c r="O45" s="77"/>
      <c r="P45" s="77"/>
      <c r="Q45" s="77"/>
      <c r="R45" s="77">
        <v>1</v>
      </c>
      <c r="S45" s="77"/>
      <c r="T45" s="77">
        <v>1</v>
      </c>
      <c r="U45" s="77">
        <v>1</v>
      </c>
      <c r="V45" s="77">
        <v>1</v>
      </c>
      <c r="W45" s="77">
        <v>1</v>
      </c>
      <c r="X45" s="1">
        <v>50</v>
      </c>
      <c r="Y45" s="1">
        <v>100</v>
      </c>
      <c r="Z45" s="1">
        <v>150</v>
      </c>
      <c r="AA45" s="1">
        <v>150</v>
      </c>
      <c r="AB45" s="1">
        <v>150</v>
      </c>
      <c r="AC45" s="20">
        <f t="shared" si="1"/>
        <v>600</v>
      </c>
      <c r="AD45" s="106" t="s">
        <v>267</v>
      </c>
    </row>
    <row r="46" spans="1:30" ht="38.25" customHeight="1">
      <c r="A46" s="75" t="s">
        <v>232</v>
      </c>
      <c r="B46" s="76" t="s">
        <v>268</v>
      </c>
      <c r="C46" s="76" t="s">
        <v>260</v>
      </c>
      <c r="D46" s="131"/>
      <c r="E46" s="12" t="s">
        <v>269</v>
      </c>
      <c r="F46" s="13" t="s">
        <v>270</v>
      </c>
      <c r="G46" s="21" t="s">
        <v>260</v>
      </c>
      <c r="H46" s="15" t="s">
        <v>219</v>
      </c>
      <c r="I46" s="16">
        <v>220707</v>
      </c>
      <c r="J46" s="16">
        <v>3</v>
      </c>
      <c r="K46" s="17" t="str">
        <f t="shared" si="3"/>
        <v>39b_MM_logo_white_380x340_резка_220707_v3</v>
      </c>
      <c r="L46" s="18" t="s">
        <v>264</v>
      </c>
      <c r="M46" s="18" t="s">
        <v>271</v>
      </c>
      <c r="N46" s="24" t="s">
        <v>221</v>
      </c>
      <c r="O46" s="77"/>
      <c r="P46" s="77"/>
      <c r="Q46" s="77">
        <v>1</v>
      </c>
      <c r="R46" s="77"/>
      <c r="S46" s="77">
        <v>1</v>
      </c>
      <c r="T46" s="77"/>
      <c r="U46" s="77"/>
      <c r="V46" s="77"/>
      <c r="W46" s="77"/>
      <c r="X46" s="1">
        <v>50</v>
      </c>
      <c r="Y46" s="1">
        <v>100</v>
      </c>
      <c r="Z46" s="1"/>
      <c r="AA46" s="1">
        <v>50</v>
      </c>
      <c r="AB46" s="1">
        <v>150</v>
      </c>
      <c r="AC46" s="20">
        <f t="shared" si="1"/>
        <v>350</v>
      </c>
      <c r="AD46" s="106" t="s">
        <v>272</v>
      </c>
    </row>
    <row r="47" spans="1:30" ht="33" customHeight="1">
      <c r="A47" s="75" t="s">
        <v>232</v>
      </c>
      <c r="B47" s="76" t="s">
        <v>273</v>
      </c>
      <c r="C47" s="76" t="s">
        <v>274</v>
      </c>
      <c r="D47" s="131"/>
      <c r="E47" s="12" t="s">
        <v>275</v>
      </c>
      <c r="F47" s="13" t="s">
        <v>270</v>
      </c>
      <c r="G47" s="21" t="s">
        <v>274</v>
      </c>
      <c r="H47" s="15" t="s">
        <v>219</v>
      </c>
      <c r="I47" s="16">
        <v>220609</v>
      </c>
      <c r="J47" s="16">
        <v>2</v>
      </c>
      <c r="K47" s="17" t="str">
        <f t="shared" si="3"/>
        <v>39c_MM_logo_white_310x280_резка_220609_v2</v>
      </c>
      <c r="L47" s="18" t="s">
        <v>264</v>
      </c>
      <c r="M47" s="18" t="s">
        <v>276</v>
      </c>
      <c r="N47" s="24" t="s">
        <v>221</v>
      </c>
      <c r="O47" s="77">
        <v>1</v>
      </c>
      <c r="P47" s="77">
        <v>1</v>
      </c>
      <c r="Q47" s="77"/>
      <c r="R47" s="77"/>
      <c r="S47" s="77"/>
      <c r="T47" s="77"/>
      <c r="U47" s="77"/>
      <c r="V47" s="77"/>
      <c r="W47" s="77"/>
      <c r="X47" s="1">
        <v>50</v>
      </c>
      <c r="Y47" s="1"/>
      <c r="Z47" s="1"/>
      <c r="AA47" s="1"/>
      <c r="AB47" s="1"/>
      <c r="AC47" s="20">
        <f t="shared" si="1"/>
        <v>50</v>
      </c>
      <c r="AD47" s="106" t="s">
        <v>277</v>
      </c>
    </row>
    <row r="48" spans="1:30" ht="57.75" customHeight="1">
      <c r="A48" s="75" t="s">
        <v>239</v>
      </c>
      <c r="B48" s="76" t="s">
        <v>278</v>
      </c>
      <c r="C48" s="76" t="s">
        <v>260</v>
      </c>
      <c r="D48" s="131"/>
      <c r="E48" s="12" t="s">
        <v>279</v>
      </c>
      <c r="F48" s="13" t="s">
        <v>280</v>
      </c>
      <c r="G48" s="21" t="s">
        <v>281</v>
      </c>
      <c r="H48" s="23" t="s">
        <v>48</v>
      </c>
      <c r="I48" s="16">
        <v>220708</v>
      </c>
      <c r="J48" s="16">
        <v>3</v>
      </c>
      <c r="K48" s="17" t="str">
        <f t="shared" si="3"/>
        <v>40a_gerb_red_285x340_прозр_220708_v3</v>
      </c>
      <c r="L48" s="18" t="s">
        <v>282</v>
      </c>
      <c r="M48" s="18" t="s">
        <v>265</v>
      </c>
      <c r="N48" s="19" t="s">
        <v>388</v>
      </c>
      <c r="O48" s="77"/>
      <c r="P48" s="77"/>
      <c r="Q48" s="77"/>
      <c r="R48" s="77">
        <v>1</v>
      </c>
      <c r="S48" s="77"/>
      <c r="T48" s="77">
        <v>1</v>
      </c>
      <c r="U48" s="77">
        <v>1</v>
      </c>
      <c r="V48" s="77">
        <v>1</v>
      </c>
      <c r="W48" s="77">
        <v>1</v>
      </c>
      <c r="X48" s="1">
        <v>50</v>
      </c>
      <c r="Y48" s="1">
        <v>50</v>
      </c>
      <c r="Z48" s="1">
        <v>50</v>
      </c>
      <c r="AA48" s="1">
        <v>150</v>
      </c>
      <c r="AB48" s="1">
        <v>150</v>
      </c>
      <c r="AC48" s="20">
        <f t="shared" si="1"/>
        <v>450</v>
      </c>
      <c r="AD48" s="106" t="s">
        <v>283</v>
      </c>
    </row>
    <row r="49" spans="1:30" ht="45.75" customHeight="1">
      <c r="A49" s="75" t="s">
        <v>284</v>
      </c>
      <c r="B49" s="76" t="s">
        <v>285</v>
      </c>
      <c r="C49" s="76" t="s">
        <v>260</v>
      </c>
      <c r="D49" s="131"/>
      <c r="E49" s="12" t="s">
        <v>286</v>
      </c>
      <c r="F49" s="13" t="s">
        <v>287</v>
      </c>
      <c r="G49" s="21" t="s">
        <v>281</v>
      </c>
      <c r="H49" s="23" t="s">
        <v>48</v>
      </c>
      <c r="I49" s="16">
        <v>220708</v>
      </c>
      <c r="J49" s="16">
        <v>3</v>
      </c>
      <c r="K49" s="17" t="str">
        <f t="shared" si="3"/>
        <v>40b_gerb_white_285x340_прозр_220708_v3</v>
      </c>
      <c r="L49" s="18" t="s">
        <v>282</v>
      </c>
      <c r="M49" s="18" t="s">
        <v>271</v>
      </c>
      <c r="N49" s="19" t="s">
        <v>389</v>
      </c>
      <c r="O49" s="77"/>
      <c r="P49" s="77"/>
      <c r="Q49" s="77">
        <v>1</v>
      </c>
      <c r="R49" s="77"/>
      <c r="S49" s="77">
        <v>1</v>
      </c>
      <c r="T49" s="77"/>
      <c r="U49" s="77"/>
      <c r="V49" s="77"/>
      <c r="W49" s="77"/>
      <c r="X49" s="1">
        <v>50</v>
      </c>
      <c r="Y49" s="1">
        <v>50</v>
      </c>
      <c r="Z49" s="1"/>
      <c r="AA49" s="1">
        <v>50</v>
      </c>
      <c r="AB49" s="1">
        <v>300</v>
      </c>
      <c r="AC49" s="20">
        <f t="shared" si="1"/>
        <v>450</v>
      </c>
      <c r="AD49" s="106" t="s">
        <v>288</v>
      </c>
    </row>
    <row r="50" spans="1:30" ht="39.75" customHeight="1">
      <c r="A50" s="75" t="s">
        <v>284</v>
      </c>
      <c r="B50" s="76" t="s">
        <v>289</v>
      </c>
      <c r="C50" s="76" t="s">
        <v>290</v>
      </c>
      <c r="D50" s="131"/>
      <c r="E50" s="12" t="s">
        <v>291</v>
      </c>
      <c r="F50" s="13" t="s">
        <v>287</v>
      </c>
      <c r="G50" s="21" t="s">
        <v>290</v>
      </c>
      <c r="H50" s="23" t="s">
        <v>48</v>
      </c>
      <c r="I50" s="16">
        <v>220708</v>
      </c>
      <c r="J50" s="16">
        <v>3</v>
      </c>
      <c r="K50" s="17" t="str">
        <f t="shared" si="3"/>
        <v>40c_gerb_white_235x280_прозр_220708_v3</v>
      </c>
      <c r="L50" s="18" t="s">
        <v>282</v>
      </c>
      <c r="M50" s="18" t="s">
        <v>276</v>
      </c>
      <c r="N50" s="19" t="s">
        <v>51</v>
      </c>
      <c r="O50" s="77">
        <v>1</v>
      </c>
      <c r="P50" s="77">
        <v>1</v>
      </c>
      <c r="Q50" s="77"/>
      <c r="R50" s="77"/>
      <c r="S50" s="77"/>
      <c r="T50" s="77"/>
      <c r="U50" s="77"/>
      <c r="V50" s="77"/>
      <c r="W50" s="77"/>
      <c r="X50" s="1">
        <v>50</v>
      </c>
      <c r="Y50" s="1"/>
      <c r="Z50" s="1"/>
      <c r="AA50" s="1"/>
      <c r="AB50" s="1"/>
      <c r="AC50" s="20">
        <f t="shared" si="1"/>
        <v>50</v>
      </c>
      <c r="AD50" s="106" t="s">
        <v>292</v>
      </c>
    </row>
    <row r="51" spans="1:30" ht="33.75" hidden="1" customHeight="1">
      <c r="A51" s="75" t="s">
        <v>250</v>
      </c>
      <c r="B51" s="76" t="s">
        <v>295</v>
      </c>
      <c r="C51" s="76" t="s">
        <v>296</v>
      </c>
      <c r="D51" s="131"/>
      <c r="E51" s="12" t="s">
        <v>297</v>
      </c>
      <c r="F51" s="13" t="s">
        <v>293</v>
      </c>
      <c r="G51" s="14" t="s">
        <v>298</v>
      </c>
      <c r="H51" s="15" t="s">
        <v>178</v>
      </c>
      <c r="I51" s="16">
        <v>220808</v>
      </c>
      <c r="J51" s="16">
        <v>1</v>
      </c>
      <c r="K51" s="17" t="str">
        <f t="shared" si="3"/>
        <v>43_nomer_korp_black_1450x430_резка_чёр_220808_v1</v>
      </c>
      <c r="L51" s="18" t="s">
        <v>179</v>
      </c>
      <c r="M51" s="18" t="s">
        <v>299</v>
      </c>
      <c r="N51" s="24" t="s">
        <v>180</v>
      </c>
      <c r="O51" s="78">
        <v>1</v>
      </c>
      <c r="P51" s="78">
        <v>1</v>
      </c>
      <c r="Q51" s="77"/>
      <c r="R51" s="84"/>
      <c r="S51" s="84"/>
      <c r="T51" s="84"/>
      <c r="U51" s="84"/>
      <c r="V51" s="84"/>
      <c r="W51" s="84"/>
      <c r="X51" s="1"/>
      <c r="Y51" s="1"/>
      <c r="Z51" s="1"/>
      <c r="AA51" s="1"/>
      <c r="AB51" s="1"/>
      <c r="AC51" s="20">
        <f t="shared" si="1"/>
        <v>0</v>
      </c>
      <c r="AD51" s="110"/>
    </row>
    <row r="52" spans="1:30" ht="33.75" hidden="1" customHeight="1">
      <c r="A52" s="75" t="s">
        <v>250</v>
      </c>
      <c r="B52" s="76" t="s">
        <v>300</v>
      </c>
      <c r="C52" s="76" t="s">
        <v>296</v>
      </c>
      <c r="D52" s="131"/>
      <c r="E52" s="12" t="s">
        <v>301</v>
      </c>
      <c r="F52" s="13" t="s">
        <v>294</v>
      </c>
      <c r="G52" s="14" t="s">
        <v>298</v>
      </c>
      <c r="H52" s="15" t="s">
        <v>219</v>
      </c>
      <c r="I52" s="16">
        <v>220808</v>
      </c>
      <c r="J52" s="16">
        <v>1</v>
      </c>
      <c r="K52" s="17" t="str">
        <f t="shared" si="3"/>
        <v>43a_nomer_korp_white_1450x430_резка_220808_v1</v>
      </c>
      <c r="L52" s="18" t="s">
        <v>179</v>
      </c>
      <c r="M52" s="18" t="s">
        <v>302</v>
      </c>
      <c r="N52" s="24" t="s">
        <v>221</v>
      </c>
      <c r="O52" s="78"/>
      <c r="P52" s="78"/>
      <c r="Q52" s="77">
        <v>1</v>
      </c>
      <c r="R52" s="84"/>
      <c r="S52" s="84"/>
      <c r="T52" s="84"/>
      <c r="U52" s="84"/>
      <c r="V52" s="84"/>
      <c r="W52" s="84"/>
      <c r="X52" s="1"/>
      <c r="Y52" s="1"/>
      <c r="Z52" s="1"/>
      <c r="AA52" s="1"/>
      <c r="AB52" s="1"/>
      <c r="AC52" s="20">
        <f t="shared" si="1"/>
        <v>0</v>
      </c>
      <c r="AD52" s="110"/>
    </row>
    <row r="53" spans="1:30" ht="12.75" hidden="1" customHeight="1">
      <c r="A53" s="75" t="s">
        <v>303</v>
      </c>
      <c r="B53" s="76" t="s">
        <v>304</v>
      </c>
      <c r="C53" s="76" t="s">
        <v>63</v>
      </c>
      <c r="D53" s="131"/>
      <c r="E53" s="12" t="s">
        <v>305</v>
      </c>
      <c r="F53" s="25" t="s">
        <v>306</v>
      </c>
      <c r="G53" s="14" t="s">
        <v>63</v>
      </c>
      <c r="H53" s="15" t="s">
        <v>307</v>
      </c>
      <c r="I53" s="16">
        <v>220609</v>
      </c>
      <c r="J53" s="16">
        <v>2</v>
      </c>
      <c r="K53" s="17" t="str">
        <f t="shared" si="3"/>
        <v>44_domkrat_blue_90x90_резка_син_220609_v2</v>
      </c>
      <c r="L53" s="18" t="s">
        <v>308</v>
      </c>
      <c r="M53" s="18" t="s">
        <v>309</v>
      </c>
      <c r="N53" s="18"/>
      <c r="O53" s="77"/>
      <c r="P53" s="77"/>
      <c r="Q53" s="77"/>
      <c r="R53" s="77"/>
      <c r="S53" s="77"/>
      <c r="T53" s="77"/>
      <c r="U53" s="77"/>
      <c r="V53" s="77"/>
      <c r="W53" s="77"/>
      <c r="X53" s="1"/>
      <c r="Y53" s="1"/>
      <c r="Z53" s="1"/>
      <c r="AA53" s="1"/>
      <c r="AB53" s="1"/>
      <c r="AC53" s="20">
        <f t="shared" si="1"/>
        <v>0</v>
      </c>
      <c r="AD53" s="106" t="s">
        <v>310</v>
      </c>
    </row>
    <row r="54" spans="1:30" ht="146.25" hidden="1">
      <c r="A54" s="75" t="s">
        <v>303</v>
      </c>
      <c r="B54" s="76" t="s">
        <v>311</v>
      </c>
      <c r="C54" s="76" t="s">
        <v>63</v>
      </c>
      <c r="D54" s="131"/>
      <c r="E54" s="12" t="s">
        <v>312</v>
      </c>
      <c r="F54" s="25" t="s">
        <v>313</v>
      </c>
      <c r="G54" s="14" t="s">
        <v>63</v>
      </c>
      <c r="H54" s="15" t="s">
        <v>219</v>
      </c>
      <c r="I54" s="16">
        <v>220609</v>
      </c>
      <c r="J54" s="16">
        <v>2</v>
      </c>
      <c r="K54" s="17" t="str">
        <f t="shared" si="3"/>
        <v>44a_domkrat_white_90x90_резка_220609_v2</v>
      </c>
      <c r="L54" s="18" t="s">
        <v>308</v>
      </c>
      <c r="M54" s="18" t="s">
        <v>55</v>
      </c>
      <c r="N54" s="18"/>
      <c r="O54" s="77"/>
      <c r="P54" s="77"/>
      <c r="Q54" s="77"/>
      <c r="R54" s="77"/>
      <c r="S54" s="77"/>
      <c r="T54" s="77"/>
      <c r="U54" s="77"/>
      <c r="V54" s="77"/>
      <c r="W54" s="77"/>
      <c r="X54" s="1"/>
      <c r="Y54" s="1"/>
      <c r="Z54" s="1"/>
      <c r="AA54" s="1"/>
      <c r="AB54" s="1"/>
      <c r="AC54" s="20">
        <f t="shared" si="1"/>
        <v>0</v>
      </c>
      <c r="AD54" s="106" t="s">
        <v>314</v>
      </c>
    </row>
    <row r="55" spans="1:30" ht="44.25" customHeight="1">
      <c r="A55" s="80"/>
      <c r="B55" s="76" t="s">
        <v>315</v>
      </c>
      <c r="C55" s="76" t="s">
        <v>316</v>
      </c>
      <c r="D55" s="131"/>
      <c r="E55" s="12" t="s">
        <v>297</v>
      </c>
      <c r="F55" s="13" t="s">
        <v>372</v>
      </c>
      <c r="G55" s="21" t="s">
        <v>371</v>
      </c>
      <c r="H55" s="23" t="s">
        <v>48</v>
      </c>
      <c r="I55" s="16">
        <v>250827</v>
      </c>
      <c r="J55" s="16">
        <v>1</v>
      </c>
      <c r="K55" s="17" t="str">
        <f>CONCATENATE(D55,E55,"_",F55,"_",G55,H55,"_",I55,"_v",J55)</f>
        <v>43_autopilot_200x178_прозр_250827_v1</v>
      </c>
      <c r="L55" s="18" t="s">
        <v>373</v>
      </c>
      <c r="M55" s="18"/>
      <c r="N55" s="19" t="s">
        <v>31</v>
      </c>
      <c r="O55" s="77">
        <v>4</v>
      </c>
      <c r="P55" s="77">
        <v>4</v>
      </c>
      <c r="Q55" s="77">
        <v>4</v>
      </c>
      <c r="R55" s="77">
        <v>6</v>
      </c>
      <c r="S55" s="77">
        <v>6</v>
      </c>
      <c r="T55" s="77">
        <v>6</v>
      </c>
      <c r="U55" s="77">
        <v>6</v>
      </c>
      <c r="V55" s="77">
        <v>6</v>
      </c>
      <c r="W55" s="77">
        <v>4</v>
      </c>
      <c r="X55" s="1"/>
      <c r="Y55" s="1"/>
      <c r="Z55" s="1">
        <v>50</v>
      </c>
      <c r="AA55" s="1"/>
      <c r="AB55" s="1"/>
      <c r="AC55" s="20">
        <f t="shared" si="1"/>
        <v>50</v>
      </c>
      <c r="AD55" s="109" t="s">
        <v>374</v>
      </c>
    </row>
    <row r="56" spans="1:30" ht="44.25" customHeight="1">
      <c r="A56" s="80"/>
      <c r="B56" s="76" t="s">
        <v>315</v>
      </c>
      <c r="C56" s="76" t="s">
        <v>316</v>
      </c>
      <c r="D56" s="131"/>
      <c r="E56" s="12" t="s">
        <v>305</v>
      </c>
      <c r="F56" s="13" t="s">
        <v>372</v>
      </c>
      <c r="G56" s="21" t="s">
        <v>375</v>
      </c>
      <c r="H56" s="23" t="s">
        <v>48</v>
      </c>
      <c r="I56" s="16">
        <v>251201</v>
      </c>
      <c r="J56" s="16">
        <v>1</v>
      </c>
      <c r="K56" s="17" t="str">
        <f>CONCATENATE(D56,E56,"_",F56,"_",G56,H56,"_",I56,"_v",J56)</f>
        <v>44_autopilot_190x70_прозр_251201_v1</v>
      </c>
      <c r="L56" s="18" t="s">
        <v>373</v>
      </c>
      <c r="M56" s="18"/>
      <c r="N56" s="19" t="s">
        <v>51</v>
      </c>
      <c r="O56" s="77">
        <v>4</v>
      </c>
      <c r="P56" s="77">
        <v>4</v>
      </c>
      <c r="Q56" s="77">
        <v>4</v>
      </c>
      <c r="R56" s="77">
        <v>6</v>
      </c>
      <c r="S56" s="77">
        <v>6</v>
      </c>
      <c r="T56" s="77">
        <v>6</v>
      </c>
      <c r="U56" s="77">
        <v>6</v>
      </c>
      <c r="V56" s="77">
        <v>6</v>
      </c>
      <c r="W56" s="77">
        <v>4</v>
      </c>
      <c r="X56" s="1"/>
      <c r="Y56" s="1"/>
      <c r="Z56" s="1">
        <v>50</v>
      </c>
      <c r="AA56" s="1"/>
      <c r="AB56" s="1"/>
      <c r="AC56" s="20">
        <f t="shared" si="1"/>
        <v>50</v>
      </c>
      <c r="AD56" s="107" t="s">
        <v>393</v>
      </c>
    </row>
    <row r="57" spans="1:30" ht="44.25" customHeight="1">
      <c r="A57" s="80"/>
      <c r="B57" s="76" t="s">
        <v>315</v>
      </c>
      <c r="C57" s="76" t="s">
        <v>316</v>
      </c>
      <c r="D57" s="131"/>
      <c r="E57" s="12" t="s">
        <v>317</v>
      </c>
      <c r="F57" s="13" t="s">
        <v>318</v>
      </c>
      <c r="G57" s="21" t="s">
        <v>316</v>
      </c>
      <c r="H57" s="23" t="s">
        <v>48</v>
      </c>
      <c r="I57" s="16">
        <v>220609</v>
      </c>
      <c r="J57" s="16">
        <v>2</v>
      </c>
      <c r="K57" s="17" t="str">
        <f t="shared" si="3"/>
        <v>45_nekurit_100x100_прозр_220609_v2</v>
      </c>
      <c r="L57" s="18" t="s">
        <v>319</v>
      </c>
      <c r="M57" s="18"/>
      <c r="N57" s="19" t="s">
        <v>51</v>
      </c>
      <c r="O57" s="77">
        <v>4</v>
      </c>
      <c r="P57" s="77">
        <v>4</v>
      </c>
      <c r="Q57" s="77">
        <v>4</v>
      </c>
      <c r="R57" s="77">
        <v>6</v>
      </c>
      <c r="S57" s="77">
        <v>6</v>
      </c>
      <c r="T57" s="77">
        <v>6</v>
      </c>
      <c r="U57" s="77">
        <v>6</v>
      </c>
      <c r="V57" s="77">
        <v>6</v>
      </c>
      <c r="W57" s="77">
        <v>4</v>
      </c>
      <c r="X57" s="1">
        <v>300</v>
      </c>
      <c r="Y57" s="1">
        <v>200</v>
      </c>
      <c r="Z57" s="1">
        <v>100</v>
      </c>
      <c r="AA57" s="1">
        <v>500</v>
      </c>
      <c r="AB57" s="1">
        <v>500</v>
      </c>
      <c r="AC57" s="20">
        <f t="shared" si="1"/>
        <v>1600</v>
      </c>
      <c r="AD57" s="106" t="s">
        <v>320</v>
      </c>
    </row>
    <row r="58" spans="1:30" ht="49.5" customHeight="1">
      <c r="A58" s="85"/>
      <c r="B58" s="83"/>
      <c r="C58" s="83"/>
      <c r="D58" s="131"/>
      <c r="E58" s="12" t="s">
        <v>321</v>
      </c>
      <c r="F58" s="18" t="s">
        <v>322</v>
      </c>
      <c r="G58" s="26" t="s">
        <v>323</v>
      </c>
      <c r="H58" s="23" t="s">
        <v>48</v>
      </c>
      <c r="I58" s="16">
        <v>220627</v>
      </c>
      <c r="J58" s="16">
        <v>1</v>
      </c>
      <c r="K58" s="17" t="str">
        <f t="shared" si="3"/>
        <v>46_vhod_50x20_прозр_220627_v1</v>
      </c>
      <c r="L58" s="18" t="s">
        <v>324</v>
      </c>
      <c r="M58" s="18"/>
      <c r="N58" s="19" t="s">
        <v>51</v>
      </c>
      <c r="O58" s="77">
        <v>4</v>
      </c>
      <c r="P58" s="77">
        <v>4</v>
      </c>
      <c r="Q58" s="77">
        <v>4</v>
      </c>
      <c r="R58" s="77">
        <v>6</v>
      </c>
      <c r="S58" s="77">
        <v>6</v>
      </c>
      <c r="T58" s="77">
        <v>6</v>
      </c>
      <c r="U58" s="77">
        <v>6</v>
      </c>
      <c r="V58" s="77">
        <v>6</v>
      </c>
      <c r="W58" s="77">
        <v>4</v>
      </c>
      <c r="X58" s="1">
        <v>300</v>
      </c>
      <c r="Y58" s="1">
        <v>900</v>
      </c>
      <c r="Z58" s="1">
        <v>200</v>
      </c>
      <c r="AA58" s="1">
        <v>1000</v>
      </c>
      <c r="AB58" s="1">
        <v>900</v>
      </c>
      <c r="AC58" s="20">
        <f t="shared" si="1"/>
        <v>3300</v>
      </c>
      <c r="AD58" s="106" t="s">
        <v>325</v>
      </c>
    </row>
    <row r="59" spans="1:30" ht="54.75" customHeight="1">
      <c r="A59" s="85"/>
      <c r="B59" s="83"/>
      <c r="C59" s="83"/>
      <c r="D59" s="131"/>
      <c r="E59" s="12" t="s">
        <v>326</v>
      </c>
      <c r="F59" s="18" t="s">
        <v>327</v>
      </c>
      <c r="G59" s="14" t="s">
        <v>328</v>
      </c>
      <c r="H59" s="15"/>
      <c r="I59" s="16">
        <v>230717</v>
      </c>
      <c r="J59" s="16">
        <v>1</v>
      </c>
      <c r="K59" s="17" t="str">
        <f t="shared" si="3"/>
        <v>47_uchenik_200x184_230717_v1</v>
      </c>
      <c r="L59" s="18" t="s">
        <v>329</v>
      </c>
      <c r="M59" s="27"/>
      <c r="N59" s="19" t="s">
        <v>31</v>
      </c>
      <c r="O59" s="86"/>
      <c r="P59" s="86"/>
      <c r="Q59" s="86"/>
      <c r="R59" s="86"/>
      <c r="S59" s="86"/>
      <c r="T59" s="86"/>
      <c r="U59" s="86"/>
      <c r="V59" s="86"/>
      <c r="W59" s="86"/>
      <c r="X59" s="4">
        <v>50</v>
      </c>
      <c r="Y59" s="4">
        <v>100</v>
      </c>
      <c r="Z59" s="4">
        <v>50</v>
      </c>
      <c r="AA59" s="4">
        <v>150</v>
      </c>
      <c r="AB59" s="4">
        <v>50</v>
      </c>
      <c r="AC59" s="20">
        <f t="shared" si="1"/>
        <v>400</v>
      </c>
      <c r="AD59" s="106" t="s">
        <v>330</v>
      </c>
    </row>
    <row r="60" spans="1:30" ht="68.25" customHeight="1">
      <c r="A60" s="85"/>
      <c r="B60" s="83"/>
      <c r="C60" s="83"/>
      <c r="D60" s="131"/>
      <c r="E60" s="12" t="s">
        <v>331</v>
      </c>
      <c r="F60" s="18" t="s">
        <v>332</v>
      </c>
      <c r="G60" s="28" t="s">
        <v>333</v>
      </c>
      <c r="H60" s="15"/>
      <c r="I60" s="16">
        <v>230717</v>
      </c>
      <c r="J60" s="16">
        <v>1</v>
      </c>
      <c r="K60" s="17" t="str">
        <f t="shared" si="3"/>
        <v>48_neopyit_voditel_150x150_230717_v1</v>
      </c>
      <c r="L60" s="18" t="s">
        <v>334</v>
      </c>
      <c r="M60" s="27"/>
      <c r="N60" s="19" t="s">
        <v>31</v>
      </c>
      <c r="O60" s="86"/>
      <c r="P60" s="86"/>
      <c r="Q60" s="86"/>
      <c r="R60" s="86"/>
      <c r="S60" s="86"/>
      <c r="T60" s="86"/>
      <c r="U60" s="86"/>
      <c r="V60" s="86"/>
      <c r="W60" s="86"/>
      <c r="X60" s="4">
        <v>50</v>
      </c>
      <c r="Y60" s="4">
        <v>100</v>
      </c>
      <c r="Z60" s="4">
        <v>50</v>
      </c>
      <c r="AA60" s="4">
        <v>150</v>
      </c>
      <c r="AB60" s="4">
        <v>50</v>
      </c>
      <c r="AC60" s="20">
        <f t="shared" ref="AC60" si="6">SUM(X60:AB60)</f>
        <v>400</v>
      </c>
      <c r="AD60" s="109" t="s">
        <v>335</v>
      </c>
    </row>
    <row r="61" spans="1:30">
      <c r="A61" s="85"/>
      <c r="B61" s="87"/>
      <c r="C61" s="87"/>
      <c r="D61" s="88"/>
      <c r="E61" s="29"/>
      <c r="F61" s="30"/>
      <c r="G61" s="31"/>
      <c r="H61" s="32"/>
      <c r="I61" s="33"/>
      <c r="J61" s="34"/>
      <c r="K61" s="35"/>
      <c r="L61" s="30"/>
      <c r="M61" s="30"/>
      <c r="N61" s="36"/>
      <c r="O61" s="89"/>
      <c r="P61" s="89"/>
      <c r="Q61" s="89"/>
      <c r="R61" s="89"/>
      <c r="S61" s="89"/>
      <c r="T61" s="89"/>
      <c r="U61" s="89"/>
      <c r="V61" s="89"/>
      <c r="W61" s="89"/>
      <c r="X61" s="91"/>
      <c r="Y61" s="91"/>
      <c r="Z61" s="91"/>
      <c r="AA61" s="91"/>
      <c r="AB61" s="91"/>
      <c r="AC61" s="37"/>
      <c r="AD61" s="89"/>
    </row>
    <row r="62" spans="1:30">
      <c r="A62" s="85"/>
      <c r="B62" s="83"/>
      <c r="C62" s="83"/>
      <c r="D62" s="88"/>
      <c r="E62" s="29"/>
      <c r="F62" s="30"/>
      <c r="G62" s="31"/>
      <c r="H62" s="32"/>
      <c r="I62" s="38"/>
      <c r="J62" s="39"/>
      <c r="K62" s="35"/>
      <c r="L62" s="30"/>
      <c r="M62" s="30"/>
      <c r="N62" s="36"/>
      <c r="O62" s="89"/>
      <c r="P62" s="89"/>
      <c r="Q62" s="89"/>
      <c r="R62" s="89"/>
      <c r="S62" s="89"/>
      <c r="T62" s="89"/>
      <c r="U62" s="89"/>
      <c r="V62" s="89"/>
      <c r="W62" s="89"/>
      <c r="X62" s="91"/>
      <c r="Y62" s="91"/>
      <c r="Z62" s="91"/>
      <c r="AA62" s="91"/>
      <c r="AB62" s="91"/>
      <c r="AC62" s="37"/>
      <c r="AD62" s="89"/>
    </row>
    <row r="63" spans="1:30">
      <c r="A63" s="85"/>
      <c r="B63" s="83"/>
      <c r="C63" s="83"/>
      <c r="D63" s="88"/>
      <c r="E63" s="29"/>
      <c r="F63" s="30"/>
      <c r="G63" s="31"/>
      <c r="H63" s="32"/>
      <c r="I63" s="38"/>
      <c r="J63" s="39"/>
      <c r="K63" s="35"/>
      <c r="L63" s="30"/>
      <c r="M63" s="30"/>
      <c r="N63" s="36"/>
      <c r="O63" s="89"/>
      <c r="P63" s="89"/>
      <c r="Q63" s="89"/>
      <c r="R63" s="89"/>
      <c r="S63" s="89"/>
      <c r="T63" s="89"/>
      <c r="U63" s="89"/>
      <c r="V63" s="89"/>
      <c r="W63" s="89"/>
      <c r="X63" s="91"/>
      <c r="Y63" s="91"/>
      <c r="Z63" s="91"/>
      <c r="AA63" s="91"/>
      <c r="AB63" s="91"/>
      <c r="AC63" s="37"/>
      <c r="AD63" s="89"/>
    </row>
    <row r="64" spans="1:30">
      <c r="A64" s="85"/>
      <c r="B64" s="92"/>
      <c r="C64" s="92"/>
      <c r="D64" s="88"/>
      <c r="E64" s="29"/>
      <c r="F64" s="30"/>
      <c r="G64" s="31"/>
      <c r="H64" s="40"/>
      <c r="I64" s="41"/>
      <c r="J64" s="42"/>
      <c r="K64" s="35"/>
      <c r="L64" s="30"/>
      <c r="M64" s="30"/>
      <c r="N64" s="36"/>
      <c r="O64" s="89"/>
      <c r="P64" s="89"/>
      <c r="Q64" s="89"/>
      <c r="R64" s="89"/>
      <c r="S64" s="89"/>
      <c r="T64" s="89"/>
      <c r="U64" s="89"/>
      <c r="V64" s="89"/>
      <c r="W64" s="89"/>
      <c r="X64" s="91"/>
      <c r="Y64" s="91"/>
      <c r="Z64" s="91"/>
      <c r="AA64" s="91"/>
      <c r="AB64" s="91"/>
      <c r="AC64" s="37"/>
      <c r="AD64" s="89"/>
    </row>
    <row r="65" spans="1:30">
      <c r="A65" s="85"/>
      <c r="B65" s="92"/>
      <c r="C65" s="92"/>
      <c r="D65" s="88"/>
      <c r="E65" s="29"/>
      <c r="F65" s="30"/>
      <c r="G65" s="31"/>
      <c r="H65" s="40"/>
      <c r="I65" s="41"/>
      <c r="J65" s="42"/>
      <c r="K65" s="35"/>
      <c r="L65" s="30"/>
      <c r="M65" s="30"/>
      <c r="N65" s="36"/>
      <c r="O65" s="89"/>
      <c r="P65" s="89"/>
      <c r="Q65" s="89"/>
      <c r="R65" s="89"/>
      <c r="S65" s="89"/>
      <c r="T65" s="89"/>
      <c r="U65" s="89"/>
      <c r="V65" s="89"/>
      <c r="W65" s="89"/>
      <c r="X65" s="91"/>
      <c r="Y65" s="91"/>
      <c r="Z65" s="91"/>
      <c r="AA65" s="91"/>
      <c r="AB65" s="91"/>
      <c r="AC65" s="37"/>
      <c r="AD65" s="89"/>
    </row>
    <row r="66" spans="1:30">
      <c r="A66" s="85"/>
      <c r="B66" s="93"/>
      <c r="C66" s="93"/>
      <c r="D66" s="88"/>
      <c r="E66" s="29"/>
      <c r="F66" s="30"/>
      <c r="G66" s="31"/>
      <c r="H66" s="40"/>
      <c r="I66" s="41"/>
      <c r="J66" s="43"/>
      <c r="K66" s="35"/>
      <c r="L66" s="30"/>
      <c r="M66" s="30"/>
      <c r="N66" s="36"/>
      <c r="O66" s="89"/>
      <c r="P66" s="89"/>
      <c r="Q66" s="89"/>
      <c r="R66" s="89"/>
      <c r="S66" s="89"/>
      <c r="T66" s="89"/>
      <c r="U66" s="89"/>
      <c r="V66" s="89"/>
      <c r="W66" s="89"/>
      <c r="X66" s="91"/>
      <c r="Y66" s="91"/>
      <c r="Z66" s="91"/>
      <c r="AA66" s="91"/>
      <c r="AB66" s="91"/>
      <c r="AC66" s="37"/>
      <c r="AD66" s="89"/>
    </row>
    <row r="67" spans="1:30">
      <c r="A67" s="85"/>
      <c r="B67" s="93"/>
      <c r="C67" s="93"/>
      <c r="D67" s="88"/>
      <c r="E67" s="29"/>
      <c r="F67" s="30"/>
      <c r="G67" s="31"/>
      <c r="H67" s="40"/>
      <c r="I67" s="41"/>
      <c r="J67" s="43"/>
      <c r="K67" s="35"/>
      <c r="L67" s="30"/>
      <c r="M67" s="30"/>
      <c r="N67" s="36"/>
      <c r="O67" s="89"/>
      <c r="P67" s="89"/>
      <c r="Q67" s="89"/>
      <c r="R67" s="89"/>
      <c r="S67" s="89"/>
      <c r="T67" s="89"/>
      <c r="U67" s="89"/>
      <c r="V67" s="89"/>
      <c r="W67" s="89"/>
      <c r="X67" s="91"/>
      <c r="Y67" s="91"/>
      <c r="Z67" s="91"/>
      <c r="AA67" s="91"/>
      <c r="AB67" s="91"/>
      <c r="AC67" s="37"/>
      <c r="AD67" s="89"/>
    </row>
    <row r="68" spans="1:30">
      <c r="A68" s="85"/>
      <c r="B68" s="94"/>
      <c r="C68" s="94"/>
      <c r="D68" s="88"/>
      <c r="E68" s="29"/>
      <c r="F68" s="30"/>
      <c r="G68" s="31"/>
      <c r="H68" s="40"/>
      <c r="I68" s="38"/>
      <c r="J68" s="44"/>
      <c r="K68" s="35"/>
      <c r="L68" s="30"/>
      <c r="M68" s="30"/>
      <c r="N68" s="36"/>
      <c r="O68" s="89"/>
      <c r="P68" s="89"/>
      <c r="Q68" s="89"/>
      <c r="R68" s="89"/>
      <c r="S68" s="89"/>
      <c r="T68" s="89"/>
      <c r="U68" s="89"/>
      <c r="V68" s="89"/>
      <c r="W68" s="89"/>
      <c r="X68" s="91"/>
      <c r="Y68" s="91"/>
      <c r="Z68" s="91"/>
      <c r="AA68" s="91"/>
      <c r="AB68" s="91"/>
      <c r="AC68" s="37"/>
      <c r="AD68" s="89"/>
    </row>
    <row r="69" spans="1:30">
      <c r="A69" s="85"/>
      <c r="B69" s="94"/>
      <c r="C69" s="94"/>
      <c r="D69" s="88"/>
      <c r="E69" s="29"/>
      <c r="F69" s="30"/>
      <c r="G69" s="31"/>
      <c r="H69" s="40"/>
      <c r="I69" s="38"/>
      <c r="J69" s="44"/>
      <c r="K69" s="35"/>
      <c r="L69" s="30"/>
      <c r="M69" s="30"/>
      <c r="N69" s="36"/>
      <c r="O69" s="89"/>
      <c r="P69" s="89"/>
      <c r="Q69" s="89"/>
      <c r="R69" s="89"/>
      <c r="S69" s="89"/>
      <c r="T69" s="89"/>
      <c r="U69" s="89"/>
      <c r="V69" s="89"/>
      <c r="W69" s="89"/>
      <c r="X69" s="91"/>
      <c r="Y69" s="91"/>
      <c r="Z69" s="91"/>
      <c r="AA69" s="91"/>
      <c r="AB69" s="91"/>
      <c r="AC69" s="37"/>
      <c r="AD69" s="89"/>
    </row>
    <row r="70" spans="1:30">
      <c r="A70" s="85"/>
      <c r="B70" s="94"/>
      <c r="C70" s="94"/>
      <c r="D70" s="88"/>
      <c r="E70" s="29"/>
      <c r="F70" s="30"/>
      <c r="G70" s="31"/>
      <c r="H70" s="40"/>
      <c r="I70" s="38"/>
      <c r="J70" s="44"/>
      <c r="K70" s="35"/>
      <c r="L70" s="30"/>
      <c r="M70" s="30"/>
      <c r="N70" s="36"/>
      <c r="O70" s="89"/>
      <c r="P70" s="89"/>
      <c r="Q70" s="89"/>
      <c r="R70" s="89"/>
      <c r="S70" s="89"/>
      <c r="T70" s="89"/>
      <c r="U70" s="89"/>
      <c r="V70" s="89"/>
      <c r="W70" s="89"/>
      <c r="X70" s="91"/>
      <c r="Y70" s="91"/>
      <c r="Z70" s="91"/>
      <c r="AA70" s="91"/>
      <c r="AB70" s="91"/>
      <c r="AC70" s="37"/>
      <c r="AD70" s="89"/>
    </row>
    <row r="71" spans="1:30">
      <c r="A71" s="85"/>
      <c r="B71" s="94"/>
      <c r="C71" s="94"/>
      <c r="D71" s="88"/>
      <c r="E71" s="29"/>
      <c r="F71" s="30"/>
      <c r="G71" s="31"/>
      <c r="H71" s="40"/>
      <c r="I71" s="38"/>
      <c r="J71" s="44"/>
      <c r="K71" s="35"/>
      <c r="L71" s="30"/>
      <c r="M71" s="30"/>
      <c r="N71" s="36"/>
      <c r="O71" s="89"/>
      <c r="P71" s="89"/>
      <c r="Q71" s="89"/>
      <c r="R71" s="89"/>
      <c r="S71" s="89"/>
      <c r="T71" s="89"/>
      <c r="U71" s="89"/>
      <c r="V71" s="89"/>
      <c r="W71" s="89"/>
      <c r="X71" s="91"/>
      <c r="Y71" s="91"/>
      <c r="Z71" s="91"/>
      <c r="AA71" s="91"/>
      <c r="AB71" s="91"/>
      <c r="AC71" s="37"/>
      <c r="AD71" s="89"/>
    </row>
    <row r="72" spans="1:30">
      <c r="A72" s="85"/>
      <c r="B72" s="94"/>
      <c r="C72" s="94"/>
      <c r="D72" s="88"/>
      <c r="E72" s="29"/>
      <c r="F72" s="30"/>
      <c r="G72" s="31"/>
      <c r="H72" s="40"/>
      <c r="I72" s="38"/>
      <c r="J72" s="44"/>
      <c r="K72" s="35"/>
      <c r="L72" s="30"/>
      <c r="M72" s="30"/>
      <c r="N72" s="36"/>
      <c r="O72" s="89"/>
      <c r="P72" s="89"/>
      <c r="Q72" s="89"/>
      <c r="R72" s="89"/>
      <c r="S72" s="89"/>
      <c r="T72" s="89"/>
      <c r="U72" s="89"/>
      <c r="V72" s="89"/>
      <c r="W72" s="89"/>
      <c r="X72" s="91"/>
      <c r="Y72" s="91"/>
      <c r="Z72" s="91"/>
      <c r="AA72" s="91"/>
      <c r="AB72" s="91"/>
      <c r="AC72" s="37"/>
      <c r="AD72" s="89"/>
    </row>
    <row r="73" spans="1:30">
      <c r="A73" s="85"/>
      <c r="B73" s="94"/>
      <c r="C73" s="94"/>
      <c r="D73" s="88"/>
      <c r="E73" s="29"/>
      <c r="F73" s="30"/>
      <c r="G73" s="31"/>
      <c r="H73" s="40"/>
      <c r="I73" s="38"/>
      <c r="J73" s="44"/>
      <c r="K73" s="45"/>
      <c r="L73" s="30"/>
      <c r="M73" s="30"/>
      <c r="N73" s="36"/>
      <c r="O73" s="89"/>
      <c r="P73" s="89"/>
      <c r="Q73" s="89"/>
      <c r="R73" s="89"/>
      <c r="S73" s="89"/>
      <c r="T73" s="89"/>
      <c r="U73" s="89"/>
      <c r="V73" s="89"/>
      <c r="W73" s="89"/>
      <c r="X73" s="91"/>
      <c r="Y73" s="91"/>
      <c r="Z73" s="91"/>
      <c r="AA73" s="91"/>
      <c r="AB73" s="91"/>
      <c r="AC73" s="37"/>
      <c r="AD73" s="89"/>
    </row>
    <row r="74" spans="1:30">
      <c r="A74" s="85"/>
      <c r="B74" s="95"/>
      <c r="C74" s="95"/>
      <c r="D74" s="88"/>
      <c r="E74" s="29"/>
      <c r="F74" s="30"/>
      <c r="G74" s="31"/>
      <c r="H74" s="40"/>
      <c r="I74" s="33"/>
      <c r="J74" s="46"/>
      <c r="K74" s="47"/>
      <c r="L74" s="30"/>
      <c r="M74" s="30"/>
      <c r="N74" s="36"/>
      <c r="O74" s="89"/>
      <c r="P74" s="89"/>
      <c r="Q74" s="89"/>
      <c r="R74" s="89"/>
      <c r="S74" s="89"/>
      <c r="T74" s="89"/>
      <c r="U74" s="89"/>
      <c r="V74" s="89"/>
      <c r="W74" s="89"/>
      <c r="X74" s="91"/>
      <c r="Y74" s="91"/>
      <c r="Z74" s="91"/>
      <c r="AA74" s="91"/>
      <c r="AB74" s="91"/>
      <c r="AC74" s="37"/>
      <c r="AD74" s="89"/>
    </row>
    <row r="75" spans="1:30">
      <c r="A75" s="85"/>
      <c r="B75" s="94"/>
      <c r="C75" s="94"/>
      <c r="D75" s="88"/>
      <c r="E75" s="29"/>
      <c r="F75" s="30"/>
      <c r="G75" s="31"/>
      <c r="H75" s="40"/>
      <c r="I75" s="48"/>
      <c r="J75" s="44"/>
      <c r="K75" s="45"/>
      <c r="L75" s="30"/>
      <c r="M75" s="30"/>
      <c r="N75" s="36"/>
      <c r="O75" s="89"/>
      <c r="P75" s="89"/>
      <c r="Q75" s="89"/>
      <c r="R75" s="89"/>
      <c r="S75" s="89"/>
      <c r="T75" s="89"/>
      <c r="U75" s="89"/>
      <c r="V75" s="89"/>
      <c r="W75" s="89"/>
      <c r="X75" s="91"/>
      <c r="Y75" s="91"/>
      <c r="Z75" s="91"/>
      <c r="AA75" s="91"/>
      <c r="AB75" s="91"/>
      <c r="AC75" s="37"/>
      <c r="AD75" s="89"/>
    </row>
    <row r="76" spans="1:30">
      <c r="A76" s="85"/>
      <c r="B76" s="94"/>
      <c r="C76" s="94"/>
      <c r="D76" s="88"/>
      <c r="E76" s="29"/>
      <c r="F76" s="30"/>
      <c r="G76" s="31"/>
      <c r="H76" s="40"/>
      <c r="I76" s="48"/>
      <c r="J76" s="44"/>
      <c r="K76" s="45"/>
      <c r="L76" s="30"/>
      <c r="M76" s="30"/>
      <c r="N76" s="36"/>
      <c r="O76" s="89"/>
      <c r="P76" s="89"/>
      <c r="Q76" s="89"/>
      <c r="R76" s="89"/>
      <c r="S76" s="89"/>
      <c r="T76" s="89"/>
      <c r="U76" s="89"/>
      <c r="V76" s="89"/>
      <c r="W76" s="89"/>
      <c r="X76" s="91"/>
      <c r="Y76" s="91"/>
      <c r="Z76" s="91"/>
      <c r="AA76" s="91"/>
      <c r="AB76" s="91"/>
      <c r="AC76" s="37"/>
      <c r="AD76" s="89"/>
    </row>
    <row r="77" spans="1:30">
      <c r="A77" s="85"/>
      <c r="B77" s="94"/>
      <c r="C77" s="94"/>
      <c r="D77" s="88"/>
      <c r="E77" s="29"/>
      <c r="F77" s="30"/>
      <c r="G77" s="31"/>
      <c r="H77" s="40"/>
      <c r="I77" s="48"/>
      <c r="J77" s="44"/>
      <c r="K77" s="45"/>
      <c r="L77" s="30"/>
      <c r="M77" s="30"/>
      <c r="N77" s="36"/>
      <c r="O77" s="89"/>
      <c r="P77" s="89"/>
      <c r="Q77" s="89"/>
      <c r="R77" s="89"/>
      <c r="S77" s="89"/>
      <c r="T77" s="89"/>
      <c r="U77" s="89"/>
      <c r="V77" s="89"/>
      <c r="W77" s="89"/>
      <c r="X77" s="91"/>
      <c r="Y77" s="91"/>
      <c r="Z77" s="91"/>
      <c r="AA77" s="91"/>
      <c r="AB77" s="91"/>
      <c r="AC77" s="37"/>
      <c r="AD77" s="89"/>
    </row>
    <row r="78" spans="1:30">
      <c r="A78" s="85"/>
      <c r="B78" s="94"/>
      <c r="C78" s="94"/>
      <c r="D78" s="88"/>
      <c r="E78" s="29"/>
      <c r="F78" s="30"/>
      <c r="G78" s="31"/>
      <c r="H78" s="40"/>
      <c r="I78" s="48"/>
      <c r="J78" s="44"/>
      <c r="K78" s="45"/>
      <c r="L78" s="30"/>
      <c r="M78" s="30"/>
      <c r="N78" s="36"/>
      <c r="O78" s="89"/>
      <c r="P78" s="89"/>
      <c r="Q78" s="89"/>
      <c r="R78" s="89"/>
      <c r="S78" s="89"/>
      <c r="T78" s="89"/>
      <c r="U78" s="89"/>
      <c r="V78" s="89"/>
      <c r="W78" s="89"/>
      <c r="X78" s="91"/>
      <c r="Y78" s="91"/>
      <c r="Z78" s="91"/>
      <c r="AA78" s="91"/>
      <c r="AB78" s="91"/>
      <c r="AC78" s="37"/>
      <c r="AD78" s="89"/>
    </row>
    <row r="79" spans="1:30">
      <c r="A79" s="85"/>
      <c r="B79" s="94"/>
      <c r="C79" s="94"/>
      <c r="D79" s="88"/>
      <c r="E79" s="29"/>
      <c r="F79" s="30"/>
      <c r="G79" s="31"/>
      <c r="H79" s="40"/>
      <c r="I79" s="48"/>
      <c r="J79" s="44"/>
      <c r="K79" s="45"/>
      <c r="L79" s="30"/>
      <c r="M79" s="30"/>
      <c r="N79" s="36"/>
      <c r="O79" s="89"/>
      <c r="P79" s="89"/>
      <c r="Q79" s="89"/>
      <c r="R79" s="89"/>
      <c r="S79" s="89"/>
      <c r="T79" s="89"/>
      <c r="U79" s="89"/>
      <c r="V79" s="89"/>
      <c r="W79" s="89"/>
      <c r="X79" s="91"/>
      <c r="Y79" s="91"/>
      <c r="Z79" s="91"/>
      <c r="AA79" s="91"/>
      <c r="AB79" s="91"/>
      <c r="AC79" s="37"/>
      <c r="AD79" s="89"/>
    </row>
    <row r="80" spans="1:30">
      <c r="A80" s="85"/>
      <c r="B80" s="95"/>
      <c r="C80" s="95"/>
      <c r="D80" s="88"/>
      <c r="E80" s="29"/>
      <c r="F80" s="30"/>
      <c r="G80" s="31"/>
      <c r="H80" s="40"/>
      <c r="I80" s="49"/>
      <c r="J80" s="46"/>
      <c r="K80" s="47"/>
      <c r="L80" s="30"/>
      <c r="M80" s="30"/>
      <c r="N80" s="36"/>
      <c r="O80" s="89"/>
      <c r="P80" s="89"/>
      <c r="Q80" s="89"/>
      <c r="R80" s="89"/>
      <c r="S80" s="89"/>
      <c r="T80" s="89"/>
      <c r="U80" s="89"/>
      <c r="V80" s="89"/>
      <c r="W80" s="89"/>
      <c r="X80" s="91"/>
      <c r="Y80" s="91"/>
      <c r="Z80" s="91"/>
      <c r="AA80" s="91"/>
      <c r="AB80" s="91"/>
      <c r="AC80" s="37"/>
      <c r="AD80" s="89"/>
    </row>
    <row r="81" spans="1:30">
      <c r="A81" s="85"/>
      <c r="B81" s="95"/>
      <c r="C81" s="95"/>
      <c r="D81" s="88"/>
      <c r="E81" s="29"/>
      <c r="F81" s="30"/>
      <c r="G81" s="31"/>
      <c r="H81" s="40"/>
      <c r="I81" s="49"/>
      <c r="J81" s="46"/>
      <c r="K81" s="47"/>
      <c r="L81" s="30"/>
      <c r="M81" s="30"/>
      <c r="N81" s="36"/>
      <c r="O81" s="89"/>
      <c r="P81" s="89"/>
      <c r="Q81" s="89"/>
      <c r="R81" s="89"/>
      <c r="S81" s="89"/>
      <c r="T81" s="89"/>
      <c r="U81" s="89"/>
      <c r="V81" s="89"/>
      <c r="W81" s="89"/>
      <c r="X81" s="91"/>
      <c r="Y81" s="91"/>
      <c r="Z81" s="91"/>
      <c r="AA81" s="91"/>
      <c r="AB81" s="91"/>
      <c r="AC81" s="37"/>
      <c r="AD81" s="89"/>
    </row>
    <row r="82" spans="1:30">
      <c r="A82" s="85"/>
      <c r="B82" s="95"/>
      <c r="C82" s="95"/>
      <c r="D82" s="88"/>
      <c r="E82" s="29"/>
      <c r="F82" s="30"/>
      <c r="G82" s="31"/>
      <c r="H82" s="40"/>
      <c r="I82" s="49"/>
      <c r="J82" s="46"/>
      <c r="K82" s="47"/>
      <c r="L82" s="30"/>
      <c r="M82" s="30"/>
      <c r="N82" s="36"/>
      <c r="O82" s="89"/>
      <c r="P82" s="89"/>
      <c r="Q82" s="89"/>
      <c r="R82" s="89"/>
      <c r="S82" s="89"/>
      <c r="T82" s="89"/>
      <c r="U82" s="89"/>
      <c r="V82" s="89"/>
      <c r="W82" s="89"/>
      <c r="X82" s="91"/>
      <c r="Y82" s="91"/>
      <c r="Z82" s="91"/>
      <c r="AA82" s="91"/>
      <c r="AB82" s="91"/>
      <c r="AC82" s="37"/>
      <c r="AD82" s="89"/>
    </row>
    <row r="83" spans="1:30">
      <c r="A83" s="85"/>
      <c r="B83" s="95"/>
      <c r="C83" s="95"/>
      <c r="D83" s="88"/>
      <c r="E83" s="29"/>
      <c r="F83" s="30"/>
      <c r="G83" s="31"/>
      <c r="H83" s="40"/>
      <c r="I83" s="49"/>
      <c r="J83" s="46"/>
      <c r="K83" s="47"/>
      <c r="L83" s="30"/>
      <c r="M83" s="30"/>
      <c r="N83" s="36"/>
      <c r="O83" s="89"/>
      <c r="P83" s="89"/>
      <c r="Q83" s="89"/>
      <c r="R83" s="89"/>
      <c r="S83" s="89"/>
      <c r="T83" s="89"/>
      <c r="U83" s="89"/>
      <c r="V83" s="89"/>
      <c r="W83" s="89"/>
      <c r="X83" s="91"/>
      <c r="Y83" s="91"/>
      <c r="Z83" s="91"/>
      <c r="AA83" s="91"/>
      <c r="AB83" s="91"/>
      <c r="AC83" s="37"/>
      <c r="AD83" s="89"/>
    </row>
    <row r="84" spans="1:30">
      <c r="A84" s="85"/>
      <c r="B84" s="94"/>
      <c r="C84" s="94"/>
      <c r="D84" s="88"/>
      <c r="E84" s="29"/>
      <c r="F84" s="30"/>
      <c r="G84" s="31"/>
      <c r="H84" s="40"/>
      <c r="I84" s="48"/>
      <c r="J84" s="44"/>
      <c r="K84" s="45"/>
      <c r="L84" s="30"/>
      <c r="M84" s="30"/>
      <c r="N84" s="36"/>
      <c r="O84" s="89"/>
      <c r="P84" s="89"/>
      <c r="Q84" s="89"/>
      <c r="R84" s="89"/>
      <c r="S84" s="89"/>
      <c r="T84" s="89"/>
      <c r="U84" s="89"/>
      <c r="V84" s="89"/>
      <c r="W84" s="89"/>
      <c r="X84" s="91"/>
      <c r="Y84" s="91"/>
      <c r="Z84" s="91"/>
      <c r="AA84" s="91"/>
      <c r="AB84" s="91"/>
      <c r="AC84" s="37"/>
      <c r="AD84" s="89"/>
    </row>
    <row r="85" spans="1:30">
      <c r="A85" s="85"/>
      <c r="B85" s="94"/>
      <c r="C85" s="94"/>
      <c r="D85" s="88"/>
      <c r="E85" s="29"/>
      <c r="F85" s="30"/>
      <c r="G85" s="31"/>
      <c r="H85" s="40"/>
      <c r="I85" s="48"/>
      <c r="J85" s="44"/>
      <c r="K85" s="45"/>
      <c r="L85" s="30"/>
      <c r="M85" s="30"/>
      <c r="N85" s="36"/>
      <c r="O85" s="89"/>
      <c r="P85" s="89"/>
      <c r="Q85" s="89"/>
      <c r="R85" s="89"/>
      <c r="S85" s="89"/>
      <c r="T85" s="89"/>
      <c r="U85" s="89"/>
      <c r="V85" s="89"/>
      <c r="W85" s="89"/>
      <c r="X85" s="91"/>
      <c r="Y85" s="91"/>
      <c r="Z85" s="91"/>
      <c r="AA85" s="91"/>
      <c r="AB85" s="91"/>
      <c r="AC85" s="37"/>
      <c r="AD85" s="89"/>
    </row>
    <row r="86" spans="1:30">
      <c r="A86" s="85"/>
      <c r="B86" s="94"/>
      <c r="C86" s="94"/>
      <c r="D86" s="88"/>
      <c r="E86" s="29"/>
      <c r="F86" s="30"/>
      <c r="G86" s="31"/>
      <c r="H86" s="40"/>
      <c r="I86" s="48"/>
      <c r="J86" s="44"/>
      <c r="K86" s="45"/>
      <c r="L86" s="30"/>
      <c r="M86" s="30"/>
      <c r="N86" s="36"/>
      <c r="O86" s="89"/>
      <c r="P86" s="89"/>
      <c r="Q86" s="89"/>
      <c r="R86" s="89"/>
      <c r="S86" s="89"/>
      <c r="T86" s="89"/>
      <c r="U86" s="89"/>
      <c r="V86" s="89"/>
      <c r="W86" s="89"/>
      <c r="X86" s="91"/>
      <c r="Y86" s="91"/>
      <c r="Z86" s="91"/>
      <c r="AA86" s="91"/>
      <c r="AB86" s="91"/>
      <c r="AC86" s="37"/>
      <c r="AD86" s="89"/>
    </row>
    <row r="87" spans="1:30">
      <c r="A87" s="85"/>
      <c r="B87" s="95"/>
      <c r="C87" s="95"/>
      <c r="D87" s="88"/>
      <c r="E87" s="29"/>
      <c r="F87" s="30"/>
      <c r="G87" s="31"/>
      <c r="H87" s="40"/>
      <c r="I87" s="49"/>
      <c r="J87" s="46"/>
      <c r="K87" s="47"/>
      <c r="L87" s="30"/>
      <c r="M87" s="30"/>
      <c r="N87" s="36"/>
      <c r="O87" s="89"/>
      <c r="P87" s="89"/>
      <c r="Q87" s="89"/>
      <c r="R87" s="89"/>
      <c r="S87" s="89"/>
      <c r="T87" s="89"/>
      <c r="U87" s="89"/>
      <c r="V87" s="89"/>
      <c r="W87" s="89"/>
      <c r="X87" s="91"/>
      <c r="Y87" s="91"/>
      <c r="Z87" s="91"/>
      <c r="AA87" s="91"/>
      <c r="AB87" s="91"/>
      <c r="AC87" s="37"/>
      <c r="AD87" s="89"/>
    </row>
    <row r="88" spans="1:30">
      <c r="A88" s="85"/>
      <c r="B88" s="95"/>
      <c r="C88" s="95"/>
      <c r="D88" s="88"/>
      <c r="E88" s="29"/>
      <c r="F88" s="30"/>
      <c r="G88" s="31"/>
      <c r="H88" s="40"/>
      <c r="I88" s="49"/>
      <c r="J88" s="46"/>
      <c r="K88" s="47"/>
      <c r="L88" s="30"/>
      <c r="M88" s="30"/>
      <c r="N88" s="36"/>
      <c r="O88" s="89"/>
      <c r="P88" s="89"/>
      <c r="Q88" s="89"/>
      <c r="R88" s="89"/>
      <c r="S88" s="89"/>
      <c r="T88" s="89"/>
      <c r="U88" s="89"/>
      <c r="V88" s="89"/>
      <c r="W88" s="89"/>
      <c r="X88" s="91"/>
      <c r="Y88" s="91"/>
      <c r="Z88" s="91"/>
      <c r="AA88" s="91"/>
      <c r="AB88" s="91"/>
      <c r="AC88" s="37"/>
      <c r="AD88" s="89"/>
    </row>
    <row r="89" spans="1:30">
      <c r="A89" s="85"/>
      <c r="B89" s="95"/>
      <c r="C89" s="95"/>
      <c r="D89" s="88"/>
      <c r="E89" s="29"/>
      <c r="F89" s="30"/>
      <c r="G89" s="31"/>
      <c r="H89" s="40"/>
      <c r="I89" s="49"/>
      <c r="J89" s="46"/>
      <c r="K89" s="47"/>
      <c r="L89" s="30"/>
      <c r="M89" s="30"/>
      <c r="N89" s="36"/>
      <c r="O89" s="89"/>
      <c r="P89" s="89"/>
      <c r="Q89" s="89"/>
      <c r="R89" s="89"/>
      <c r="S89" s="89"/>
      <c r="T89" s="89"/>
      <c r="U89" s="89"/>
      <c r="V89" s="89"/>
      <c r="W89" s="89"/>
      <c r="X89" s="91"/>
      <c r="Y89" s="91"/>
      <c r="Z89" s="91"/>
      <c r="AA89" s="91"/>
      <c r="AB89" s="91"/>
      <c r="AC89" s="37"/>
      <c r="AD89" s="89"/>
    </row>
    <row r="90" spans="1:30">
      <c r="A90" s="85"/>
      <c r="B90" s="95"/>
      <c r="C90" s="95"/>
      <c r="D90" s="88"/>
      <c r="E90" s="29"/>
      <c r="F90" s="30"/>
      <c r="G90" s="31"/>
      <c r="H90" s="40"/>
      <c r="I90" s="49"/>
      <c r="J90" s="46"/>
      <c r="K90" s="47"/>
      <c r="L90" s="30"/>
      <c r="M90" s="30"/>
      <c r="N90" s="36"/>
      <c r="O90" s="89"/>
      <c r="P90" s="89"/>
      <c r="Q90" s="89"/>
      <c r="R90" s="89"/>
      <c r="S90" s="89"/>
      <c r="T90" s="89"/>
      <c r="U90" s="89"/>
      <c r="V90" s="89"/>
      <c r="W90" s="89"/>
      <c r="X90" s="91"/>
      <c r="Y90" s="91"/>
      <c r="Z90" s="91"/>
      <c r="AA90" s="91"/>
      <c r="AB90" s="91"/>
      <c r="AC90" s="37"/>
      <c r="AD90" s="89"/>
    </row>
    <row r="91" spans="1:30">
      <c r="A91" s="85"/>
      <c r="B91" s="95"/>
      <c r="C91" s="95"/>
      <c r="D91" s="88"/>
      <c r="E91" s="29"/>
      <c r="F91" s="30"/>
      <c r="G91" s="31"/>
      <c r="H91" s="40"/>
      <c r="I91" s="49"/>
      <c r="J91" s="46"/>
      <c r="K91" s="47"/>
      <c r="L91" s="30"/>
      <c r="M91" s="30"/>
      <c r="N91" s="36"/>
      <c r="O91" s="89"/>
      <c r="P91" s="89"/>
      <c r="Q91" s="89"/>
      <c r="R91" s="89"/>
      <c r="S91" s="89"/>
      <c r="T91" s="89"/>
      <c r="U91" s="89"/>
      <c r="V91" s="89"/>
      <c r="W91" s="89"/>
      <c r="X91" s="91"/>
      <c r="Y91" s="91"/>
      <c r="Z91" s="91"/>
      <c r="AA91" s="91"/>
      <c r="AB91" s="91"/>
      <c r="AC91" s="37"/>
      <c r="AD91" s="89"/>
    </row>
    <row r="92" spans="1:30">
      <c r="A92" s="85"/>
      <c r="B92" s="95"/>
      <c r="C92" s="95"/>
      <c r="D92" s="88"/>
      <c r="E92" s="29"/>
      <c r="F92" s="30"/>
      <c r="G92" s="31"/>
      <c r="H92" s="40"/>
      <c r="I92" s="49"/>
      <c r="J92" s="46"/>
      <c r="K92" s="47"/>
      <c r="L92" s="30"/>
      <c r="M92" s="30"/>
      <c r="N92" s="36"/>
      <c r="O92" s="89"/>
      <c r="P92" s="89"/>
      <c r="Q92" s="89"/>
      <c r="R92" s="89"/>
      <c r="S92" s="89"/>
      <c r="T92" s="89"/>
      <c r="U92" s="89"/>
      <c r="V92" s="89"/>
      <c r="W92" s="89"/>
      <c r="X92" s="91"/>
      <c r="Y92" s="91"/>
      <c r="Z92" s="91"/>
      <c r="AA92" s="91"/>
      <c r="AB92" s="91"/>
      <c r="AC92" s="37"/>
      <c r="AD92" s="89"/>
    </row>
    <row r="93" spans="1:30">
      <c r="A93" s="85"/>
      <c r="B93" s="95"/>
      <c r="C93" s="95"/>
      <c r="D93" s="88"/>
      <c r="E93" s="29"/>
      <c r="F93" s="30"/>
      <c r="G93" s="31"/>
      <c r="H93" s="40"/>
      <c r="I93" s="49"/>
      <c r="J93" s="46"/>
      <c r="K93" s="47"/>
      <c r="L93" s="30"/>
      <c r="M93" s="30"/>
      <c r="N93" s="36"/>
      <c r="O93" s="89"/>
      <c r="P93" s="89"/>
      <c r="Q93" s="89"/>
      <c r="R93" s="89"/>
      <c r="S93" s="89"/>
      <c r="T93" s="89"/>
      <c r="U93" s="89"/>
      <c r="V93" s="89"/>
      <c r="W93" s="89"/>
      <c r="X93" s="91"/>
      <c r="Y93" s="91"/>
      <c r="Z93" s="91"/>
      <c r="AA93" s="91"/>
      <c r="AB93" s="91"/>
      <c r="AC93" s="37"/>
      <c r="AD93" s="89"/>
    </row>
    <row r="94" spans="1:30">
      <c r="A94" s="85"/>
      <c r="B94" s="95"/>
      <c r="C94" s="95"/>
      <c r="D94" s="88"/>
      <c r="E94" s="29"/>
      <c r="F94" s="30"/>
      <c r="G94" s="31"/>
      <c r="H94" s="40"/>
      <c r="I94" s="49"/>
      <c r="J94" s="46"/>
      <c r="K94" s="47"/>
      <c r="L94" s="30"/>
      <c r="M94" s="30"/>
      <c r="N94" s="36"/>
      <c r="O94" s="89"/>
      <c r="P94" s="89"/>
      <c r="Q94" s="89"/>
      <c r="R94" s="89"/>
      <c r="S94" s="89"/>
      <c r="T94" s="89"/>
      <c r="U94" s="89"/>
      <c r="V94" s="89"/>
      <c r="W94" s="89"/>
      <c r="X94" s="91"/>
      <c r="Y94" s="91"/>
      <c r="Z94" s="91"/>
      <c r="AA94" s="91"/>
      <c r="AB94" s="91"/>
      <c r="AC94" s="37"/>
      <c r="AD94" s="89"/>
    </row>
    <row r="95" spans="1:30">
      <c r="A95" s="85"/>
      <c r="B95" s="95"/>
      <c r="C95" s="95"/>
      <c r="D95" s="88"/>
      <c r="E95" s="29"/>
      <c r="F95" s="30"/>
      <c r="G95" s="31"/>
      <c r="H95" s="40"/>
      <c r="I95" s="49"/>
      <c r="J95" s="46"/>
      <c r="K95" s="50"/>
      <c r="L95" s="30"/>
      <c r="M95" s="30"/>
      <c r="N95" s="36"/>
      <c r="O95" s="89"/>
      <c r="P95" s="89"/>
      <c r="Q95" s="89"/>
      <c r="R95" s="89"/>
      <c r="S95" s="89"/>
      <c r="T95" s="89"/>
      <c r="U95" s="89"/>
      <c r="V95" s="89"/>
      <c r="W95" s="89"/>
      <c r="X95" s="91"/>
      <c r="Y95" s="91"/>
      <c r="Z95" s="91"/>
      <c r="AA95" s="91"/>
      <c r="AB95" s="91"/>
      <c r="AC95" s="37"/>
      <c r="AD95" s="89"/>
    </row>
    <row r="96" spans="1:30">
      <c r="A96" s="85"/>
      <c r="B96" s="94"/>
      <c r="C96" s="94"/>
      <c r="D96" s="88"/>
      <c r="E96" s="29"/>
      <c r="F96" s="30"/>
      <c r="G96" s="31"/>
      <c r="H96" s="40"/>
      <c r="I96" s="48"/>
      <c r="J96" s="44"/>
      <c r="K96" s="30"/>
      <c r="L96" s="30"/>
      <c r="M96" s="30"/>
      <c r="N96" s="36"/>
      <c r="O96" s="89"/>
      <c r="P96" s="89"/>
      <c r="Q96" s="89"/>
      <c r="R96" s="89"/>
      <c r="S96" s="89"/>
      <c r="T96" s="89"/>
      <c r="U96" s="89"/>
      <c r="V96" s="89"/>
      <c r="W96" s="89"/>
      <c r="X96" s="91"/>
      <c r="Y96" s="91"/>
      <c r="Z96" s="91"/>
      <c r="AA96" s="91"/>
      <c r="AB96" s="91"/>
      <c r="AC96" s="37"/>
      <c r="AD96" s="89"/>
    </row>
    <row r="97" spans="1:30">
      <c r="A97" s="85"/>
      <c r="B97" s="94"/>
      <c r="C97" s="94"/>
      <c r="D97" s="88"/>
      <c r="E97" s="29"/>
      <c r="F97" s="30"/>
      <c r="G97" s="31"/>
      <c r="H97" s="40"/>
      <c r="I97" s="48"/>
      <c r="J97" s="44"/>
      <c r="K97" s="30"/>
      <c r="L97" s="30"/>
      <c r="M97" s="30"/>
      <c r="N97" s="36"/>
      <c r="O97" s="89"/>
      <c r="P97" s="89"/>
      <c r="Q97" s="89"/>
      <c r="R97" s="89"/>
      <c r="S97" s="89"/>
      <c r="T97" s="89"/>
      <c r="U97" s="89"/>
      <c r="V97" s="89"/>
      <c r="W97" s="89"/>
      <c r="X97" s="91"/>
      <c r="Y97" s="91"/>
      <c r="Z97" s="91"/>
      <c r="AA97" s="91"/>
      <c r="AB97" s="91"/>
      <c r="AC97" s="37"/>
      <c r="AD97" s="89"/>
    </row>
    <row r="98" spans="1:30">
      <c r="A98" s="85"/>
      <c r="B98" s="94"/>
      <c r="C98" s="94"/>
      <c r="D98" s="88"/>
      <c r="E98" s="29"/>
      <c r="F98" s="30"/>
      <c r="G98" s="31"/>
      <c r="H98" s="40"/>
      <c r="I98" s="48"/>
      <c r="J98" s="44"/>
      <c r="K98" s="30"/>
      <c r="L98" s="30"/>
      <c r="M98" s="30"/>
      <c r="N98" s="36"/>
      <c r="O98" s="89"/>
      <c r="P98" s="89"/>
      <c r="Q98" s="89"/>
      <c r="R98" s="89"/>
      <c r="S98" s="89"/>
      <c r="T98" s="89"/>
      <c r="U98" s="89"/>
      <c r="V98" s="89"/>
      <c r="W98" s="89"/>
      <c r="X98" s="91"/>
      <c r="Y98" s="91"/>
      <c r="Z98" s="91"/>
      <c r="AA98" s="91"/>
      <c r="AB98" s="91"/>
      <c r="AC98" s="37"/>
      <c r="AD98" s="89"/>
    </row>
    <row r="99" spans="1:30">
      <c r="A99" s="85"/>
      <c r="B99" s="94"/>
      <c r="C99" s="94"/>
      <c r="D99" s="88"/>
      <c r="E99" s="29"/>
      <c r="F99" s="30"/>
      <c r="G99" s="31"/>
      <c r="H99" s="40"/>
      <c r="I99" s="48"/>
      <c r="J99" s="44"/>
      <c r="K99" s="30"/>
      <c r="L99" s="30"/>
      <c r="M99" s="30"/>
      <c r="N99" s="36"/>
      <c r="O99" s="89"/>
      <c r="P99" s="89"/>
      <c r="Q99" s="89"/>
      <c r="R99" s="89"/>
      <c r="S99" s="89"/>
      <c r="T99" s="89"/>
      <c r="U99" s="89"/>
      <c r="V99" s="89"/>
      <c r="W99" s="89"/>
      <c r="X99" s="91"/>
      <c r="Y99" s="91"/>
      <c r="Z99" s="91"/>
      <c r="AA99" s="91"/>
      <c r="AB99" s="91"/>
      <c r="AC99" s="37"/>
      <c r="AD99" s="89"/>
    </row>
    <row r="100" spans="1:30">
      <c r="A100" s="85"/>
      <c r="B100" s="94"/>
      <c r="C100" s="94"/>
      <c r="D100" s="88"/>
      <c r="E100" s="29"/>
      <c r="F100" s="30"/>
      <c r="G100" s="31"/>
      <c r="H100" s="40"/>
      <c r="I100" s="48"/>
      <c r="J100" s="44"/>
      <c r="K100" s="30"/>
      <c r="L100" s="30"/>
      <c r="M100" s="30"/>
      <c r="N100" s="36"/>
      <c r="O100" s="89"/>
      <c r="P100" s="89"/>
      <c r="Q100" s="89"/>
      <c r="R100" s="89"/>
      <c r="S100" s="89"/>
      <c r="T100" s="89"/>
      <c r="U100" s="89"/>
      <c r="V100" s="89"/>
      <c r="W100" s="89"/>
      <c r="X100" s="91"/>
      <c r="Y100" s="91"/>
      <c r="Z100" s="91"/>
      <c r="AA100" s="91"/>
      <c r="AB100" s="91"/>
      <c r="AC100" s="37"/>
      <c r="AD100" s="89"/>
    </row>
    <row r="101" spans="1:30">
      <c r="A101" s="85"/>
      <c r="B101" s="94"/>
      <c r="C101" s="94"/>
      <c r="D101" s="88"/>
      <c r="E101" s="29"/>
      <c r="F101" s="30"/>
      <c r="G101" s="31"/>
      <c r="H101" s="40"/>
      <c r="I101" s="48"/>
      <c r="J101" s="44"/>
      <c r="K101" s="30"/>
      <c r="L101" s="30"/>
      <c r="M101" s="30"/>
      <c r="N101" s="36"/>
      <c r="O101" s="89"/>
      <c r="P101" s="89"/>
      <c r="Q101" s="89"/>
      <c r="R101" s="89"/>
      <c r="S101" s="89"/>
      <c r="T101" s="89"/>
      <c r="U101" s="89"/>
      <c r="V101" s="89"/>
      <c r="W101" s="89"/>
      <c r="X101" s="91"/>
      <c r="Y101" s="91"/>
      <c r="Z101" s="91"/>
      <c r="AA101" s="91"/>
      <c r="AB101" s="91"/>
      <c r="AC101" s="37"/>
      <c r="AD101" s="89"/>
    </row>
    <row r="102" spans="1:30">
      <c r="A102" s="85"/>
      <c r="B102" s="94"/>
      <c r="C102" s="94"/>
      <c r="D102" s="88"/>
      <c r="E102" s="29"/>
      <c r="F102" s="30"/>
      <c r="G102" s="31"/>
      <c r="H102" s="40"/>
      <c r="I102" s="48"/>
      <c r="J102" s="51"/>
      <c r="K102" s="30"/>
      <c r="L102" s="30"/>
      <c r="M102" s="30"/>
      <c r="N102" s="36"/>
      <c r="O102" s="89"/>
      <c r="P102" s="89"/>
      <c r="Q102" s="89"/>
      <c r="R102" s="89"/>
      <c r="S102" s="89"/>
      <c r="T102" s="89"/>
      <c r="U102" s="89"/>
      <c r="V102" s="89"/>
      <c r="W102" s="89"/>
      <c r="X102" s="91"/>
      <c r="Y102" s="91"/>
      <c r="Z102" s="91"/>
      <c r="AA102" s="91"/>
      <c r="AB102" s="91"/>
      <c r="AC102" s="37"/>
      <c r="AD102" s="89"/>
    </row>
    <row r="103" spans="1:30">
      <c r="A103" s="85"/>
      <c r="B103" s="94"/>
      <c r="C103" s="94"/>
      <c r="D103" s="88"/>
      <c r="E103" s="29"/>
      <c r="F103" s="30"/>
      <c r="G103" s="31"/>
      <c r="H103" s="40"/>
      <c r="I103" s="48"/>
      <c r="J103" s="51"/>
      <c r="K103" s="30"/>
      <c r="L103" s="30"/>
      <c r="M103" s="30"/>
      <c r="N103" s="36"/>
      <c r="O103" s="89"/>
      <c r="P103" s="89"/>
      <c r="Q103" s="89"/>
      <c r="R103" s="89"/>
      <c r="S103" s="89"/>
      <c r="T103" s="89"/>
      <c r="U103" s="89"/>
      <c r="V103" s="89"/>
      <c r="W103" s="89"/>
      <c r="X103" s="91"/>
      <c r="Y103" s="91"/>
      <c r="Z103" s="91"/>
      <c r="AA103" s="91"/>
      <c r="AB103" s="91"/>
      <c r="AC103" s="37"/>
      <c r="AD103" s="89"/>
    </row>
    <row r="104" spans="1:30">
      <c r="A104" s="85"/>
      <c r="B104" s="94"/>
      <c r="C104" s="94"/>
      <c r="D104" s="88"/>
      <c r="E104" s="29"/>
      <c r="F104" s="30"/>
      <c r="G104" s="31"/>
      <c r="H104" s="40"/>
      <c r="I104" s="48"/>
      <c r="J104" s="51"/>
      <c r="K104" s="30"/>
      <c r="L104" s="30"/>
      <c r="M104" s="30"/>
      <c r="N104" s="36"/>
      <c r="O104" s="89"/>
      <c r="P104" s="89"/>
      <c r="Q104" s="89"/>
      <c r="R104" s="89"/>
      <c r="S104" s="89"/>
      <c r="T104" s="89"/>
      <c r="U104" s="89"/>
      <c r="V104" s="89"/>
      <c r="W104" s="89"/>
      <c r="X104" s="91"/>
      <c r="Y104" s="91"/>
      <c r="Z104" s="91"/>
      <c r="AA104" s="91"/>
      <c r="AB104" s="91"/>
      <c r="AC104" s="37"/>
      <c r="AD104" s="89"/>
    </row>
    <row r="105" spans="1:30">
      <c r="A105" s="85"/>
      <c r="B105" s="94"/>
      <c r="C105" s="94"/>
      <c r="D105" s="88"/>
      <c r="E105" s="29"/>
      <c r="F105" s="30"/>
      <c r="G105" s="31"/>
      <c r="H105" s="40"/>
      <c r="I105" s="48"/>
      <c r="J105" s="51"/>
      <c r="K105" s="30"/>
      <c r="L105" s="30"/>
      <c r="M105" s="30"/>
      <c r="N105" s="52"/>
      <c r="O105" s="89"/>
      <c r="P105" s="89"/>
      <c r="Q105" s="89"/>
      <c r="R105" s="89"/>
      <c r="S105" s="89"/>
      <c r="T105" s="89"/>
      <c r="U105" s="89"/>
      <c r="V105" s="89"/>
      <c r="W105" s="89"/>
      <c r="X105" s="91"/>
      <c r="Y105" s="91"/>
      <c r="Z105" s="91"/>
      <c r="AA105" s="91"/>
      <c r="AB105" s="91"/>
      <c r="AC105" s="37"/>
      <c r="AD105" s="89"/>
    </row>
    <row r="106" spans="1:30">
      <c r="A106" s="85"/>
      <c r="B106" s="94"/>
      <c r="C106" s="94"/>
      <c r="D106" s="88"/>
      <c r="E106" s="29"/>
      <c r="F106" s="30"/>
      <c r="G106" s="31"/>
      <c r="H106" s="40"/>
      <c r="I106" s="48"/>
      <c r="J106" s="51"/>
      <c r="K106" s="30"/>
      <c r="L106" s="30"/>
      <c r="M106" s="30"/>
      <c r="N106" s="52"/>
      <c r="O106" s="89"/>
      <c r="P106" s="89"/>
      <c r="Q106" s="89"/>
      <c r="R106" s="89"/>
      <c r="S106" s="89"/>
      <c r="T106" s="89"/>
      <c r="U106" s="89"/>
      <c r="V106" s="89"/>
      <c r="W106" s="89"/>
      <c r="X106" s="91"/>
      <c r="Y106" s="91"/>
      <c r="Z106" s="91"/>
      <c r="AA106" s="91"/>
      <c r="AB106" s="91"/>
      <c r="AC106" s="37"/>
      <c r="AD106" s="89"/>
    </row>
    <row r="107" spans="1:30">
      <c r="A107" s="85"/>
      <c r="B107" s="94"/>
      <c r="C107" s="94"/>
      <c r="D107" s="88"/>
      <c r="E107" s="29"/>
      <c r="F107" s="30"/>
      <c r="G107" s="31"/>
      <c r="H107" s="40"/>
      <c r="I107" s="48"/>
      <c r="J107" s="51"/>
      <c r="K107" s="30"/>
      <c r="L107" s="30"/>
      <c r="M107" s="30"/>
      <c r="N107" s="52"/>
      <c r="O107" s="89"/>
      <c r="P107" s="89"/>
      <c r="Q107" s="89"/>
      <c r="R107" s="89"/>
      <c r="S107" s="89"/>
      <c r="T107" s="89"/>
      <c r="U107" s="89"/>
      <c r="V107" s="89"/>
      <c r="W107" s="89"/>
      <c r="X107" s="91"/>
      <c r="Y107" s="91"/>
      <c r="Z107" s="91"/>
      <c r="AA107" s="91"/>
      <c r="AB107" s="91"/>
      <c r="AC107" s="37"/>
      <c r="AD107" s="89"/>
    </row>
    <row r="108" spans="1:30">
      <c r="A108" s="85"/>
      <c r="B108" s="94"/>
      <c r="C108" s="94"/>
      <c r="D108" s="88"/>
      <c r="E108" s="29"/>
      <c r="F108" s="30"/>
      <c r="G108" s="31"/>
      <c r="H108" s="40"/>
      <c r="I108" s="48"/>
      <c r="J108" s="51"/>
      <c r="K108" s="30"/>
      <c r="L108" s="30"/>
      <c r="M108" s="30"/>
      <c r="N108" s="52"/>
      <c r="O108" s="89"/>
      <c r="P108" s="89"/>
      <c r="Q108" s="89"/>
      <c r="R108" s="89"/>
      <c r="S108" s="89"/>
      <c r="T108" s="89"/>
      <c r="U108" s="89"/>
      <c r="V108" s="89"/>
      <c r="W108" s="89"/>
      <c r="X108" s="91"/>
      <c r="Y108" s="91"/>
      <c r="Z108" s="91"/>
      <c r="AA108" s="91"/>
      <c r="AB108" s="91"/>
      <c r="AC108" s="37"/>
      <c r="AD108" s="89"/>
    </row>
    <row r="109" spans="1:30">
      <c r="A109" s="85"/>
      <c r="B109" s="94"/>
      <c r="C109" s="94"/>
      <c r="D109" s="88"/>
      <c r="E109" s="29"/>
      <c r="F109" s="30"/>
      <c r="G109" s="31"/>
      <c r="H109" s="40"/>
      <c r="I109" s="48"/>
      <c r="J109" s="51"/>
      <c r="K109" s="30"/>
      <c r="L109" s="30"/>
      <c r="M109" s="30"/>
      <c r="N109" s="52"/>
      <c r="O109" s="89"/>
      <c r="P109" s="89"/>
      <c r="Q109" s="89"/>
      <c r="R109" s="89"/>
      <c r="S109" s="89"/>
      <c r="T109" s="89"/>
      <c r="U109" s="89"/>
      <c r="V109" s="89"/>
      <c r="W109" s="89"/>
      <c r="X109" s="91"/>
      <c r="Y109" s="91"/>
      <c r="Z109" s="91"/>
      <c r="AA109" s="91"/>
      <c r="AB109" s="91"/>
      <c r="AC109" s="37"/>
      <c r="AD109" s="89"/>
    </row>
    <row r="110" spans="1:30">
      <c r="A110" s="85"/>
      <c r="B110" s="94"/>
      <c r="C110" s="94"/>
      <c r="D110" s="88"/>
      <c r="E110" s="29"/>
      <c r="F110" s="30"/>
      <c r="G110" s="31"/>
      <c r="H110" s="40"/>
      <c r="I110" s="48"/>
      <c r="J110" s="51"/>
      <c r="K110" s="30"/>
      <c r="L110" s="30"/>
      <c r="M110" s="30"/>
      <c r="N110" s="52"/>
      <c r="O110" s="89"/>
      <c r="P110" s="89"/>
      <c r="Q110" s="89"/>
      <c r="R110" s="89"/>
      <c r="S110" s="89"/>
      <c r="T110" s="89"/>
      <c r="U110" s="89"/>
      <c r="V110" s="89"/>
      <c r="W110" s="89"/>
      <c r="X110" s="91"/>
      <c r="Y110" s="91"/>
      <c r="Z110" s="91"/>
      <c r="AA110" s="91"/>
      <c r="AB110" s="91"/>
      <c r="AC110" s="37"/>
      <c r="AD110" s="89"/>
    </row>
    <row r="111" spans="1:30">
      <c r="A111" s="85"/>
      <c r="B111" s="94"/>
      <c r="C111" s="94"/>
      <c r="D111" s="88"/>
      <c r="E111" s="29"/>
      <c r="F111" s="30"/>
      <c r="G111" s="31"/>
      <c r="H111" s="40"/>
      <c r="I111" s="48"/>
      <c r="J111" s="51"/>
      <c r="K111" s="30"/>
      <c r="L111" s="30"/>
      <c r="M111" s="30"/>
      <c r="N111" s="52"/>
      <c r="O111" s="89"/>
      <c r="P111" s="89"/>
      <c r="Q111" s="89"/>
      <c r="R111" s="89"/>
      <c r="S111" s="89"/>
      <c r="T111" s="89"/>
      <c r="U111" s="89"/>
      <c r="V111" s="89"/>
      <c r="W111" s="89"/>
      <c r="X111" s="91"/>
      <c r="Y111" s="91"/>
      <c r="Z111" s="91"/>
      <c r="AA111" s="91"/>
      <c r="AB111" s="91"/>
      <c r="AC111" s="37"/>
      <c r="AD111" s="89"/>
    </row>
    <row r="112" spans="1:30">
      <c r="A112" s="85"/>
      <c r="B112" s="94"/>
      <c r="C112" s="94"/>
      <c r="D112" s="88"/>
      <c r="E112" s="29"/>
      <c r="F112" s="30"/>
      <c r="G112" s="31"/>
      <c r="H112" s="40"/>
      <c r="I112" s="48"/>
      <c r="J112" s="51"/>
      <c r="K112" s="30"/>
      <c r="L112" s="30"/>
      <c r="M112" s="30"/>
      <c r="N112" s="52"/>
      <c r="O112" s="89"/>
      <c r="P112" s="89"/>
      <c r="Q112" s="89"/>
      <c r="R112" s="89"/>
      <c r="S112" s="89"/>
      <c r="T112" s="89"/>
      <c r="U112" s="89"/>
      <c r="V112" s="89"/>
      <c r="W112" s="89"/>
      <c r="X112" s="91"/>
      <c r="Y112" s="91"/>
      <c r="Z112" s="91"/>
      <c r="AA112" s="91"/>
      <c r="AB112" s="91"/>
      <c r="AC112" s="37"/>
      <c r="AD112" s="89"/>
    </row>
    <row r="113" spans="1:30">
      <c r="A113" s="85"/>
      <c r="B113" s="94"/>
      <c r="C113" s="94"/>
      <c r="D113" s="88"/>
      <c r="E113" s="29"/>
      <c r="F113" s="30"/>
      <c r="G113" s="31"/>
      <c r="H113" s="40"/>
      <c r="I113" s="48"/>
      <c r="J113" s="51"/>
      <c r="K113" s="30"/>
      <c r="L113" s="30"/>
      <c r="M113" s="30"/>
      <c r="N113" s="52"/>
      <c r="O113" s="89"/>
      <c r="P113" s="89"/>
      <c r="Q113" s="89"/>
      <c r="R113" s="89"/>
      <c r="S113" s="89"/>
      <c r="T113" s="89"/>
      <c r="U113" s="89"/>
      <c r="V113" s="89"/>
      <c r="W113" s="89"/>
      <c r="X113" s="91"/>
      <c r="Y113" s="91"/>
      <c r="Z113" s="91"/>
      <c r="AA113" s="91"/>
      <c r="AB113" s="91"/>
      <c r="AC113" s="37"/>
      <c r="AD113" s="89"/>
    </row>
    <row r="114" spans="1:30">
      <c r="A114" s="85"/>
      <c r="B114" s="94"/>
      <c r="C114" s="94"/>
      <c r="D114" s="88"/>
      <c r="E114" s="29"/>
      <c r="F114" s="30"/>
      <c r="G114" s="31"/>
      <c r="H114" s="40"/>
      <c r="I114" s="48"/>
      <c r="J114" s="51"/>
      <c r="K114" s="30"/>
      <c r="L114" s="30"/>
      <c r="M114" s="30"/>
      <c r="N114" s="52"/>
      <c r="O114" s="89"/>
      <c r="P114" s="89"/>
      <c r="Q114" s="89"/>
      <c r="R114" s="89"/>
      <c r="S114" s="89"/>
      <c r="T114" s="89"/>
      <c r="U114" s="89"/>
      <c r="V114" s="89"/>
      <c r="W114" s="89"/>
      <c r="X114" s="91"/>
      <c r="Y114" s="91"/>
      <c r="Z114" s="91"/>
      <c r="AA114" s="91"/>
      <c r="AB114" s="91"/>
      <c r="AC114" s="37"/>
      <c r="AD114" s="89"/>
    </row>
    <row r="115" spans="1:30">
      <c r="A115" s="96"/>
      <c r="B115" s="94"/>
      <c r="C115" s="94"/>
      <c r="D115" s="97"/>
      <c r="E115" s="53"/>
      <c r="F115" s="54"/>
      <c r="G115" s="55"/>
      <c r="H115" s="56"/>
      <c r="I115" s="57"/>
      <c r="J115" s="56"/>
      <c r="K115" s="58"/>
      <c r="L115" s="54"/>
      <c r="M115" s="54"/>
      <c r="N115" s="59"/>
      <c r="O115" s="99"/>
      <c r="P115" s="99"/>
      <c r="Q115" s="99"/>
      <c r="R115" s="99"/>
      <c r="S115" s="99"/>
      <c r="T115" s="99"/>
      <c r="U115" s="99"/>
      <c r="V115" s="99"/>
      <c r="W115" s="99"/>
      <c r="X115" s="91"/>
      <c r="Y115" s="91"/>
      <c r="Z115" s="91"/>
      <c r="AA115" s="91"/>
      <c r="AB115" s="91"/>
      <c r="AC115" s="37"/>
      <c r="AD115" s="98"/>
    </row>
    <row r="116" spans="1:30">
      <c r="A116" s="96"/>
      <c r="B116" s="94"/>
      <c r="C116" s="94"/>
      <c r="D116" s="97"/>
      <c r="E116" s="53"/>
      <c r="F116" s="54"/>
      <c r="G116" s="55"/>
      <c r="H116" s="56"/>
      <c r="I116" s="57"/>
      <c r="J116" s="56"/>
      <c r="K116" s="58"/>
      <c r="L116" s="54"/>
      <c r="M116" s="54"/>
      <c r="N116" s="59"/>
      <c r="O116" s="99"/>
      <c r="P116" s="99"/>
      <c r="Q116" s="99"/>
      <c r="R116" s="99"/>
      <c r="S116" s="99"/>
      <c r="T116" s="99"/>
      <c r="U116" s="99"/>
      <c r="V116" s="99"/>
      <c r="W116" s="99"/>
      <c r="X116" s="91"/>
      <c r="Y116" s="91"/>
      <c r="Z116" s="91"/>
      <c r="AA116" s="91"/>
      <c r="AB116" s="91"/>
      <c r="AC116" s="37"/>
      <c r="AD116" s="98"/>
    </row>
    <row r="117" spans="1:30">
      <c r="A117" s="96"/>
      <c r="B117" s="94"/>
      <c r="C117" s="94"/>
      <c r="D117" s="97"/>
      <c r="E117" s="53"/>
      <c r="F117" s="54"/>
      <c r="G117" s="55"/>
      <c r="H117" s="56"/>
      <c r="I117" s="57"/>
      <c r="J117" s="56"/>
      <c r="K117" s="58"/>
      <c r="L117" s="54"/>
      <c r="M117" s="54"/>
      <c r="N117" s="59"/>
      <c r="O117" s="99"/>
      <c r="P117" s="99"/>
      <c r="Q117" s="99"/>
      <c r="R117" s="99"/>
      <c r="S117" s="99"/>
      <c r="T117" s="99"/>
      <c r="U117" s="99"/>
      <c r="V117" s="99"/>
      <c r="W117" s="99"/>
      <c r="X117" s="91"/>
      <c r="Y117" s="91"/>
      <c r="Z117" s="91"/>
      <c r="AA117" s="91"/>
      <c r="AB117" s="91"/>
      <c r="AC117" s="37"/>
      <c r="AD117" s="98"/>
    </row>
    <row r="118" spans="1:30">
      <c r="A118" s="96"/>
      <c r="B118" s="94"/>
      <c r="C118" s="94"/>
      <c r="D118" s="97"/>
      <c r="E118" s="53"/>
      <c r="F118" s="54"/>
      <c r="G118" s="55"/>
      <c r="H118" s="56"/>
      <c r="I118" s="57"/>
      <c r="J118" s="56"/>
      <c r="K118" s="58"/>
      <c r="L118" s="54"/>
      <c r="M118" s="54"/>
      <c r="N118" s="59"/>
      <c r="O118" s="99"/>
      <c r="P118" s="99"/>
      <c r="Q118" s="99"/>
      <c r="R118" s="99"/>
      <c r="S118" s="99"/>
      <c r="T118" s="99"/>
      <c r="U118" s="99"/>
      <c r="V118" s="99"/>
      <c r="W118" s="99"/>
      <c r="X118" s="91"/>
      <c r="Y118" s="91"/>
      <c r="Z118" s="91"/>
      <c r="AA118" s="91"/>
      <c r="AB118" s="91"/>
      <c r="AC118" s="37"/>
      <c r="AD118" s="98"/>
    </row>
    <row r="119" spans="1:30">
      <c r="A119" s="96"/>
      <c r="B119" s="94"/>
      <c r="C119" s="94"/>
      <c r="D119" s="97"/>
      <c r="E119" s="53"/>
      <c r="F119" s="54"/>
      <c r="G119" s="55"/>
      <c r="H119" s="56"/>
      <c r="I119" s="57"/>
      <c r="J119" s="56"/>
      <c r="K119" s="58"/>
      <c r="L119" s="54"/>
      <c r="M119" s="54"/>
      <c r="N119" s="59"/>
      <c r="O119" s="99"/>
      <c r="P119" s="99"/>
      <c r="Q119" s="99"/>
      <c r="R119" s="99"/>
      <c r="S119" s="99"/>
      <c r="T119" s="99"/>
      <c r="U119" s="99"/>
      <c r="V119" s="99"/>
      <c r="W119" s="99"/>
      <c r="X119" s="91"/>
      <c r="Y119" s="91"/>
      <c r="Z119" s="91"/>
      <c r="AA119" s="91"/>
      <c r="AB119" s="91"/>
      <c r="AC119" s="37"/>
      <c r="AD119" s="98"/>
    </row>
    <row r="120" spans="1:30">
      <c r="A120" s="96"/>
      <c r="B120" s="94"/>
      <c r="C120" s="94"/>
      <c r="D120" s="97"/>
      <c r="E120" s="53"/>
      <c r="F120" s="54"/>
      <c r="G120" s="55"/>
      <c r="H120" s="56"/>
      <c r="I120" s="57"/>
      <c r="J120" s="56"/>
      <c r="K120" s="58"/>
      <c r="L120" s="54"/>
      <c r="M120" s="54"/>
      <c r="N120" s="54"/>
      <c r="O120" s="98"/>
      <c r="P120" s="98"/>
      <c r="Q120" s="98"/>
      <c r="R120" s="98"/>
      <c r="S120" s="98"/>
      <c r="T120" s="98"/>
      <c r="U120" s="98"/>
      <c r="V120" s="98"/>
      <c r="W120" s="98"/>
      <c r="X120" s="91"/>
      <c r="Y120" s="91"/>
      <c r="Z120" s="91"/>
      <c r="AA120" s="91"/>
      <c r="AB120" s="91"/>
      <c r="AC120" s="37"/>
      <c r="AD120" s="98"/>
    </row>
    <row r="121" spans="1:30">
      <c r="A121" s="96"/>
      <c r="B121" s="94"/>
      <c r="C121" s="94"/>
      <c r="D121" s="97"/>
      <c r="E121" s="53"/>
      <c r="F121" s="54"/>
      <c r="G121" s="55"/>
      <c r="H121" s="56"/>
      <c r="I121" s="57"/>
      <c r="J121" s="56"/>
      <c r="K121" s="58"/>
      <c r="L121" s="54"/>
      <c r="M121" s="54"/>
      <c r="N121" s="54"/>
      <c r="O121" s="98"/>
      <c r="P121" s="98"/>
      <c r="Q121" s="98"/>
      <c r="R121" s="98"/>
      <c r="S121" s="98"/>
      <c r="T121" s="98"/>
      <c r="U121" s="98"/>
      <c r="V121" s="98"/>
      <c r="W121" s="98"/>
      <c r="X121" s="91"/>
      <c r="Y121" s="91"/>
      <c r="Z121" s="91"/>
      <c r="AA121" s="91"/>
      <c r="AB121" s="91"/>
      <c r="AC121" s="37"/>
      <c r="AD121" s="98"/>
    </row>
    <row r="122" spans="1:30">
      <c r="A122" s="96"/>
      <c r="B122" s="94"/>
      <c r="C122" s="94"/>
      <c r="D122" s="97"/>
      <c r="E122" s="53"/>
      <c r="F122" s="54"/>
      <c r="G122" s="55"/>
      <c r="H122" s="56"/>
      <c r="I122" s="57"/>
      <c r="J122" s="56"/>
      <c r="K122" s="58"/>
      <c r="L122" s="54"/>
      <c r="M122" s="54"/>
      <c r="N122" s="59"/>
      <c r="O122" s="99"/>
      <c r="P122" s="99"/>
      <c r="Q122" s="99"/>
      <c r="R122" s="99"/>
      <c r="S122" s="99"/>
      <c r="T122" s="99"/>
      <c r="U122" s="99"/>
      <c r="V122" s="99"/>
      <c r="W122" s="99"/>
      <c r="X122" s="91"/>
      <c r="Y122" s="91"/>
      <c r="Z122" s="91"/>
      <c r="AA122" s="91"/>
      <c r="AB122" s="91"/>
      <c r="AC122" s="37"/>
      <c r="AD122" s="98"/>
    </row>
    <row r="123" spans="1:30">
      <c r="A123" s="96"/>
      <c r="B123" s="94"/>
      <c r="C123" s="94"/>
      <c r="D123" s="97"/>
      <c r="E123" s="53"/>
      <c r="F123" s="54"/>
      <c r="G123" s="55"/>
      <c r="H123" s="56"/>
      <c r="I123" s="57"/>
      <c r="J123" s="56"/>
      <c r="K123" s="58"/>
      <c r="L123" s="54"/>
      <c r="M123" s="54"/>
      <c r="N123" s="59"/>
      <c r="O123" s="99"/>
      <c r="P123" s="99"/>
      <c r="Q123" s="99"/>
      <c r="R123" s="99"/>
      <c r="S123" s="99"/>
      <c r="T123" s="99"/>
      <c r="U123" s="99"/>
      <c r="V123" s="99"/>
      <c r="W123" s="99"/>
      <c r="X123" s="91"/>
      <c r="Y123" s="91"/>
      <c r="Z123" s="91"/>
      <c r="AA123" s="91"/>
      <c r="AB123" s="91"/>
      <c r="AC123" s="37"/>
      <c r="AD123" s="98"/>
    </row>
    <row r="124" spans="1:30">
      <c r="A124" s="96"/>
      <c r="B124" s="94"/>
      <c r="C124" s="94"/>
      <c r="D124" s="97"/>
      <c r="E124" s="53"/>
      <c r="F124" s="54"/>
      <c r="G124" s="55"/>
      <c r="H124" s="56"/>
      <c r="I124" s="57"/>
      <c r="J124" s="56"/>
      <c r="K124" s="58"/>
      <c r="L124" s="54"/>
      <c r="M124" s="54"/>
      <c r="N124" s="54"/>
      <c r="O124" s="98"/>
      <c r="P124" s="98"/>
      <c r="Q124" s="98"/>
      <c r="R124" s="98"/>
      <c r="S124" s="98"/>
      <c r="T124" s="98"/>
      <c r="U124" s="98"/>
      <c r="V124" s="98"/>
      <c r="W124" s="98"/>
      <c r="X124" s="91"/>
      <c r="Y124" s="91"/>
      <c r="Z124" s="91"/>
      <c r="AA124" s="91"/>
      <c r="AB124" s="91"/>
      <c r="AC124" s="37"/>
      <c r="AD124" s="98"/>
    </row>
    <row r="125" spans="1:30">
      <c r="A125" s="96"/>
      <c r="B125" s="94"/>
      <c r="C125" s="94"/>
      <c r="D125" s="97"/>
      <c r="E125" s="53"/>
      <c r="F125" s="54"/>
      <c r="G125" s="55"/>
      <c r="H125" s="56"/>
      <c r="I125" s="57"/>
      <c r="J125" s="56"/>
      <c r="K125" s="58"/>
      <c r="L125" s="54"/>
      <c r="M125" s="54"/>
      <c r="N125" s="54"/>
      <c r="O125" s="98"/>
      <c r="P125" s="98"/>
      <c r="Q125" s="98"/>
      <c r="R125" s="98"/>
      <c r="S125" s="98"/>
      <c r="T125" s="98"/>
      <c r="U125" s="98"/>
      <c r="V125" s="98"/>
      <c r="W125" s="98"/>
      <c r="X125" s="91"/>
      <c r="Y125" s="91"/>
      <c r="Z125" s="91"/>
      <c r="AA125" s="91"/>
      <c r="AB125" s="91"/>
      <c r="AC125" s="37"/>
      <c r="AD125" s="98"/>
    </row>
    <row r="126" spans="1:30">
      <c r="A126" s="96"/>
      <c r="B126" s="94"/>
      <c r="C126" s="94"/>
      <c r="D126" s="97"/>
      <c r="E126" s="53"/>
      <c r="F126" s="54"/>
      <c r="G126" s="55"/>
      <c r="H126" s="56"/>
      <c r="I126" s="57"/>
      <c r="J126" s="56"/>
      <c r="K126" s="58"/>
      <c r="L126" s="54"/>
      <c r="M126" s="54"/>
      <c r="N126" s="54"/>
      <c r="O126" s="98"/>
      <c r="P126" s="98"/>
      <c r="Q126" s="98"/>
      <c r="R126" s="98"/>
      <c r="S126" s="98"/>
      <c r="T126" s="98"/>
      <c r="U126" s="98"/>
      <c r="V126" s="98"/>
      <c r="W126" s="98"/>
      <c r="X126" s="91"/>
      <c r="Y126" s="91"/>
      <c r="Z126" s="91"/>
      <c r="AA126" s="91"/>
      <c r="AB126" s="91"/>
      <c r="AC126" s="37"/>
      <c r="AD126" s="98"/>
    </row>
    <row r="127" spans="1:30">
      <c r="A127" s="96"/>
      <c r="B127" s="94"/>
      <c r="C127" s="94"/>
      <c r="D127" s="97"/>
      <c r="E127" s="53"/>
      <c r="F127" s="54"/>
      <c r="G127" s="55"/>
      <c r="H127" s="56"/>
      <c r="I127" s="57"/>
      <c r="J127" s="56"/>
      <c r="K127" s="58"/>
      <c r="L127" s="54"/>
      <c r="M127" s="54"/>
      <c r="N127" s="54"/>
      <c r="O127" s="98"/>
      <c r="P127" s="98"/>
      <c r="Q127" s="98"/>
      <c r="R127" s="98"/>
      <c r="S127" s="98"/>
      <c r="T127" s="98"/>
      <c r="U127" s="98"/>
      <c r="V127" s="98"/>
      <c r="W127" s="98"/>
      <c r="X127" s="91"/>
      <c r="Y127" s="91"/>
      <c r="Z127" s="91"/>
      <c r="AA127" s="91"/>
      <c r="AB127" s="91"/>
      <c r="AC127" s="37"/>
      <c r="AD127" s="98"/>
    </row>
    <row r="128" spans="1:30">
      <c r="A128" s="100"/>
      <c r="B128" s="94"/>
      <c r="C128" s="94"/>
      <c r="D128" s="101"/>
      <c r="E128" s="53"/>
      <c r="F128" s="36"/>
      <c r="G128" s="60"/>
      <c r="H128" s="51"/>
      <c r="I128" s="48"/>
      <c r="J128" s="51"/>
      <c r="K128" s="30"/>
      <c r="L128" s="36"/>
      <c r="M128" s="36"/>
      <c r="N128" s="36"/>
      <c r="O128" s="90"/>
      <c r="P128" s="90"/>
      <c r="Q128" s="90"/>
      <c r="R128" s="90"/>
      <c r="S128" s="90"/>
      <c r="T128" s="90"/>
      <c r="U128" s="90"/>
      <c r="V128" s="90"/>
      <c r="W128" s="90"/>
      <c r="X128" s="91"/>
      <c r="Y128" s="91"/>
      <c r="Z128" s="91"/>
      <c r="AA128" s="91"/>
      <c r="AB128" s="91"/>
      <c r="AC128" s="37"/>
      <c r="AD128" s="90"/>
    </row>
    <row r="129" spans="1:30">
      <c r="A129" s="100"/>
      <c r="B129" s="94"/>
      <c r="C129" s="94"/>
      <c r="D129" s="101"/>
      <c r="E129" s="53"/>
      <c r="F129" s="36"/>
      <c r="G129" s="60"/>
      <c r="H129" s="51"/>
      <c r="I129" s="48"/>
      <c r="J129" s="51"/>
      <c r="K129" s="30"/>
      <c r="L129" s="36"/>
      <c r="M129" s="36"/>
      <c r="N129" s="36"/>
      <c r="O129" s="90"/>
      <c r="P129" s="90"/>
      <c r="Q129" s="90"/>
      <c r="R129" s="90"/>
      <c r="S129" s="90"/>
      <c r="T129" s="90"/>
      <c r="U129" s="90"/>
      <c r="V129" s="90"/>
      <c r="W129" s="90"/>
      <c r="X129" s="91"/>
      <c r="Y129" s="91"/>
      <c r="Z129" s="91"/>
      <c r="AA129" s="91"/>
      <c r="AB129" s="91"/>
      <c r="AC129" s="37"/>
      <c r="AD129" s="90"/>
    </row>
    <row r="130" spans="1:30">
      <c r="A130" s="100"/>
      <c r="B130" s="94"/>
      <c r="C130" s="94"/>
      <c r="D130" s="101"/>
      <c r="E130" s="53"/>
      <c r="F130" s="36"/>
      <c r="G130" s="60"/>
      <c r="H130" s="51"/>
      <c r="I130" s="48"/>
      <c r="J130" s="51"/>
      <c r="K130" s="30"/>
      <c r="L130" s="36"/>
      <c r="M130" s="36"/>
      <c r="N130" s="36"/>
      <c r="O130" s="90"/>
      <c r="P130" s="90"/>
      <c r="Q130" s="90"/>
      <c r="R130" s="90"/>
      <c r="S130" s="90"/>
      <c r="T130" s="90"/>
      <c r="U130" s="90"/>
      <c r="V130" s="90"/>
      <c r="W130" s="90"/>
      <c r="X130" s="91"/>
      <c r="Y130" s="91"/>
      <c r="Z130" s="91"/>
      <c r="AA130" s="91"/>
      <c r="AB130" s="91"/>
      <c r="AC130" s="37"/>
      <c r="AD130" s="90"/>
    </row>
    <row r="131" spans="1:30">
      <c r="A131" s="100"/>
      <c r="B131" s="94"/>
      <c r="C131" s="94"/>
      <c r="D131" s="101"/>
      <c r="E131" s="53"/>
      <c r="F131" s="36"/>
      <c r="G131" s="60"/>
      <c r="H131" s="51"/>
      <c r="I131" s="48"/>
      <c r="J131" s="51"/>
      <c r="K131" s="30"/>
      <c r="L131" s="36"/>
      <c r="M131" s="36"/>
      <c r="N131" s="36"/>
      <c r="O131" s="90"/>
      <c r="P131" s="90"/>
      <c r="Q131" s="90"/>
      <c r="R131" s="90"/>
      <c r="S131" s="90"/>
      <c r="T131" s="90"/>
      <c r="U131" s="90"/>
      <c r="V131" s="90"/>
      <c r="W131" s="90"/>
      <c r="X131" s="91"/>
      <c r="Y131" s="91"/>
      <c r="Z131" s="91"/>
      <c r="AA131" s="91"/>
      <c r="AB131" s="91"/>
      <c r="AC131" s="37"/>
      <c r="AD131" s="90"/>
    </row>
    <row r="132" spans="1:30">
      <c r="A132" s="100"/>
      <c r="B132" s="94"/>
      <c r="C132" s="94"/>
      <c r="D132" s="101"/>
      <c r="E132" s="53"/>
      <c r="F132" s="36"/>
      <c r="G132" s="60"/>
      <c r="H132" s="51"/>
      <c r="I132" s="48"/>
      <c r="J132" s="51"/>
      <c r="K132" s="30"/>
      <c r="L132" s="36"/>
      <c r="M132" s="36"/>
      <c r="N132" s="36"/>
      <c r="O132" s="90"/>
      <c r="P132" s="90"/>
      <c r="Q132" s="90"/>
      <c r="R132" s="90"/>
      <c r="S132" s="90"/>
      <c r="T132" s="90"/>
      <c r="U132" s="90"/>
      <c r="V132" s="90"/>
      <c r="W132" s="90"/>
      <c r="X132" s="91"/>
      <c r="Y132" s="91"/>
      <c r="Z132" s="91"/>
      <c r="AA132" s="91"/>
      <c r="AB132" s="91"/>
      <c r="AC132" s="37"/>
      <c r="AD132" s="90"/>
    </row>
    <row r="133" spans="1:30">
      <c r="A133" s="100"/>
      <c r="B133" s="94"/>
      <c r="C133" s="94"/>
      <c r="D133" s="101"/>
      <c r="E133" s="53"/>
      <c r="F133" s="36"/>
      <c r="G133" s="60"/>
      <c r="H133" s="51"/>
      <c r="I133" s="48"/>
      <c r="J133" s="51"/>
      <c r="K133" s="30"/>
      <c r="L133" s="36"/>
      <c r="M133" s="36"/>
      <c r="N133" s="36"/>
      <c r="O133" s="90"/>
      <c r="P133" s="90"/>
      <c r="Q133" s="90"/>
      <c r="R133" s="90"/>
      <c r="S133" s="90"/>
      <c r="T133" s="90"/>
      <c r="U133" s="90"/>
      <c r="V133" s="90"/>
      <c r="W133" s="90"/>
      <c r="X133" s="91"/>
      <c r="Y133" s="91"/>
      <c r="Z133" s="91"/>
      <c r="AA133" s="91"/>
      <c r="AB133" s="91"/>
      <c r="AC133" s="37"/>
      <c r="AD133" s="90"/>
    </row>
    <row r="134" spans="1:30">
      <c r="A134" s="100"/>
      <c r="B134" s="94"/>
      <c r="C134" s="94"/>
      <c r="D134" s="101"/>
      <c r="E134" s="53"/>
      <c r="F134" s="36"/>
      <c r="G134" s="60"/>
      <c r="H134" s="51"/>
      <c r="I134" s="48"/>
      <c r="J134" s="51"/>
      <c r="K134" s="30"/>
      <c r="L134" s="36"/>
      <c r="M134" s="36"/>
      <c r="N134" s="36"/>
      <c r="O134" s="90"/>
      <c r="P134" s="90"/>
      <c r="Q134" s="90"/>
      <c r="R134" s="90"/>
      <c r="S134" s="90"/>
      <c r="T134" s="90"/>
      <c r="U134" s="90"/>
      <c r="V134" s="90"/>
      <c r="W134" s="90"/>
      <c r="X134" s="91"/>
      <c r="Y134" s="91"/>
      <c r="Z134" s="91"/>
      <c r="AA134" s="91"/>
      <c r="AB134" s="91"/>
      <c r="AC134" s="37"/>
      <c r="AD134" s="90"/>
    </row>
    <row r="135" spans="1:30">
      <c r="A135" s="100"/>
      <c r="B135" s="94"/>
      <c r="C135" s="94"/>
      <c r="D135" s="101"/>
      <c r="E135" s="53"/>
      <c r="F135" s="36"/>
      <c r="G135" s="60"/>
      <c r="H135" s="51"/>
      <c r="I135" s="48"/>
      <c r="J135" s="51"/>
      <c r="K135" s="30"/>
      <c r="L135" s="36"/>
      <c r="M135" s="36"/>
      <c r="N135" s="36"/>
      <c r="O135" s="90"/>
      <c r="P135" s="90"/>
      <c r="Q135" s="90"/>
      <c r="R135" s="90"/>
      <c r="S135" s="90"/>
      <c r="T135" s="90"/>
      <c r="U135" s="90"/>
      <c r="V135" s="90"/>
      <c r="W135" s="90"/>
      <c r="X135" s="91"/>
      <c r="Y135" s="91"/>
      <c r="Z135" s="91"/>
      <c r="AA135" s="91"/>
      <c r="AB135" s="91"/>
      <c r="AC135" s="37"/>
      <c r="AD135" s="90"/>
    </row>
    <row r="136" spans="1:30">
      <c r="A136" s="100"/>
      <c r="B136" s="94"/>
      <c r="C136" s="94"/>
      <c r="D136" s="101"/>
      <c r="E136" s="53"/>
      <c r="F136" s="36"/>
      <c r="G136" s="60"/>
      <c r="H136" s="51"/>
      <c r="I136" s="48"/>
      <c r="J136" s="51"/>
      <c r="K136" s="30"/>
      <c r="L136" s="36"/>
      <c r="M136" s="36"/>
      <c r="N136" s="36"/>
      <c r="O136" s="90"/>
      <c r="P136" s="90"/>
      <c r="Q136" s="90"/>
      <c r="R136" s="90"/>
      <c r="S136" s="90"/>
      <c r="T136" s="90"/>
      <c r="U136" s="90"/>
      <c r="V136" s="90"/>
      <c r="W136" s="90"/>
      <c r="X136" s="91"/>
      <c r="Y136" s="91"/>
      <c r="Z136" s="91"/>
      <c r="AA136" s="91"/>
      <c r="AB136" s="91"/>
      <c r="AC136" s="37"/>
      <c r="AD136" s="90"/>
    </row>
    <row r="137" spans="1:30">
      <c r="A137" s="100"/>
      <c r="B137" s="94"/>
      <c r="C137" s="94"/>
      <c r="D137" s="101"/>
      <c r="E137" s="53"/>
      <c r="F137" s="36"/>
      <c r="G137" s="60"/>
      <c r="H137" s="51"/>
      <c r="I137" s="48"/>
      <c r="J137" s="51"/>
      <c r="K137" s="30"/>
      <c r="L137" s="36"/>
      <c r="M137" s="36"/>
      <c r="N137" s="36"/>
      <c r="O137" s="90"/>
      <c r="P137" s="90"/>
      <c r="Q137" s="90"/>
      <c r="R137" s="90"/>
      <c r="S137" s="90"/>
      <c r="T137" s="90"/>
      <c r="U137" s="90"/>
      <c r="V137" s="90"/>
      <c r="W137" s="90"/>
      <c r="X137" s="91"/>
      <c r="Y137" s="91"/>
      <c r="Z137" s="91"/>
      <c r="AA137" s="91"/>
      <c r="AB137" s="91"/>
      <c r="AC137" s="37"/>
      <c r="AD137" s="90"/>
    </row>
    <row r="138" spans="1:30">
      <c r="A138" s="100"/>
      <c r="B138" s="94"/>
      <c r="C138" s="94"/>
      <c r="D138" s="101"/>
      <c r="E138" s="53"/>
      <c r="F138" s="36"/>
      <c r="G138" s="60"/>
      <c r="H138" s="51"/>
      <c r="I138" s="48"/>
      <c r="J138" s="51"/>
      <c r="K138" s="30"/>
      <c r="L138" s="36"/>
      <c r="M138" s="36"/>
      <c r="N138" s="36"/>
      <c r="O138" s="90"/>
      <c r="P138" s="90"/>
      <c r="Q138" s="90"/>
      <c r="R138" s="90"/>
      <c r="S138" s="90"/>
      <c r="T138" s="90"/>
      <c r="U138" s="90"/>
      <c r="V138" s="90"/>
      <c r="W138" s="90"/>
      <c r="X138" s="91"/>
      <c r="Y138" s="91"/>
      <c r="Z138" s="91"/>
      <c r="AA138" s="91"/>
      <c r="AB138" s="91"/>
      <c r="AC138" s="37"/>
      <c r="AD138" s="90"/>
    </row>
    <row r="139" spans="1:30">
      <c r="A139" s="100"/>
      <c r="B139" s="94"/>
      <c r="C139" s="94"/>
      <c r="D139" s="101"/>
      <c r="E139" s="53"/>
      <c r="F139" s="36"/>
      <c r="G139" s="60"/>
      <c r="H139" s="51"/>
      <c r="I139" s="48"/>
      <c r="J139" s="51"/>
      <c r="K139" s="30"/>
      <c r="L139" s="36"/>
      <c r="M139" s="36"/>
      <c r="N139" s="36"/>
      <c r="O139" s="90"/>
      <c r="P139" s="90"/>
      <c r="Q139" s="90"/>
      <c r="R139" s="90"/>
      <c r="S139" s="90"/>
      <c r="T139" s="90"/>
      <c r="U139" s="90"/>
      <c r="V139" s="90"/>
      <c r="W139" s="90"/>
      <c r="X139" s="91"/>
      <c r="Y139" s="91"/>
      <c r="Z139" s="91"/>
      <c r="AA139" s="91"/>
      <c r="AB139" s="91"/>
      <c r="AC139" s="37"/>
      <c r="AD139" s="90"/>
    </row>
    <row r="140" spans="1:30">
      <c r="A140" s="100"/>
      <c r="B140" s="94"/>
      <c r="C140" s="94"/>
      <c r="D140" s="101"/>
      <c r="E140" s="53"/>
      <c r="F140" s="36"/>
      <c r="G140" s="60"/>
      <c r="H140" s="51"/>
      <c r="I140" s="48"/>
      <c r="J140" s="51"/>
      <c r="K140" s="30"/>
      <c r="L140" s="36"/>
      <c r="M140" s="36"/>
      <c r="N140" s="36"/>
      <c r="O140" s="90"/>
      <c r="P140" s="90"/>
      <c r="Q140" s="90"/>
      <c r="R140" s="90"/>
      <c r="S140" s="90"/>
      <c r="T140" s="90"/>
      <c r="U140" s="90"/>
      <c r="V140" s="90"/>
      <c r="W140" s="90"/>
      <c r="X140" s="91"/>
      <c r="Y140" s="91"/>
      <c r="Z140" s="91"/>
      <c r="AA140" s="91"/>
      <c r="AB140" s="91"/>
      <c r="AC140" s="37"/>
      <c r="AD140" s="90"/>
    </row>
    <row r="141" spans="1:30">
      <c r="A141" s="100"/>
      <c r="B141" s="94"/>
      <c r="C141" s="94"/>
      <c r="D141" s="101"/>
      <c r="E141" s="53"/>
      <c r="F141" s="36"/>
      <c r="G141" s="60"/>
      <c r="H141" s="51"/>
      <c r="I141" s="48"/>
      <c r="J141" s="51"/>
      <c r="K141" s="30"/>
      <c r="L141" s="36"/>
      <c r="M141" s="36"/>
      <c r="N141" s="36"/>
      <c r="O141" s="90"/>
      <c r="P141" s="90"/>
      <c r="Q141" s="90"/>
      <c r="R141" s="90"/>
      <c r="S141" s="90"/>
      <c r="T141" s="90"/>
      <c r="U141" s="90"/>
      <c r="V141" s="90"/>
      <c r="W141" s="90"/>
      <c r="X141" s="91"/>
      <c r="Y141" s="91"/>
      <c r="Z141" s="91"/>
      <c r="AA141" s="91"/>
      <c r="AB141" s="91"/>
      <c r="AC141" s="37"/>
      <c r="AD141" s="90"/>
    </row>
    <row r="142" spans="1:30">
      <c r="A142" s="100"/>
      <c r="B142" s="94"/>
      <c r="C142" s="94"/>
      <c r="D142" s="101"/>
      <c r="E142" s="53"/>
      <c r="F142" s="36"/>
      <c r="G142" s="60"/>
      <c r="H142" s="51"/>
      <c r="I142" s="48"/>
      <c r="J142" s="51"/>
      <c r="K142" s="30"/>
      <c r="L142" s="36"/>
      <c r="M142" s="36"/>
      <c r="N142" s="36"/>
      <c r="O142" s="90"/>
      <c r="P142" s="90"/>
      <c r="Q142" s="90"/>
      <c r="R142" s="90"/>
      <c r="S142" s="90"/>
      <c r="T142" s="90"/>
      <c r="U142" s="90"/>
      <c r="V142" s="90"/>
      <c r="W142" s="90"/>
      <c r="X142" s="91"/>
      <c r="Y142" s="91"/>
      <c r="Z142" s="91"/>
      <c r="AA142" s="91"/>
      <c r="AB142" s="91"/>
      <c r="AC142" s="37"/>
      <c r="AD142" s="90"/>
    </row>
    <row r="143" spans="1:30">
      <c r="A143" s="100"/>
      <c r="B143" s="94"/>
      <c r="C143" s="94"/>
      <c r="D143" s="101"/>
      <c r="E143" s="53"/>
      <c r="F143" s="36"/>
      <c r="G143" s="60"/>
      <c r="H143" s="51"/>
      <c r="I143" s="48"/>
      <c r="J143" s="51"/>
      <c r="K143" s="30"/>
      <c r="L143" s="36"/>
      <c r="M143" s="36"/>
      <c r="N143" s="36"/>
      <c r="O143" s="90"/>
      <c r="P143" s="90"/>
      <c r="Q143" s="90"/>
      <c r="R143" s="90"/>
      <c r="S143" s="90"/>
      <c r="T143" s="90"/>
      <c r="U143" s="90"/>
      <c r="V143" s="90"/>
      <c r="W143" s="90"/>
      <c r="X143" s="91"/>
      <c r="Y143" s="91"/>
      <c r="Z143" s="91"/>
      <c r="AA143" s="91"/>
      <c r="AB143" s="91"/>
      <c r="AC143" s="37"/>
      <c r="AD143" s="90"/>
    </row>
    <row r="144" spans="1:30">
      <c r="A144" s="100"/>
      <c r="B144" s="94"/>
      <c r="C144" s="94"/>
      <c r="D144" s="101"/>
      <c r="E144" s="53"/>
      <c r="F144" s="36"/>
      <c r="G144" s="60"/>
      <c r="H144" s="51"/>
      <c r="I144" s="48"/>
      <c r="J144" s="51"/>
      <c r="K144" s="30"/>
      <c r="L144" s="36"/>
      <c r="M144" s="36"/>
      <c r="N144" s="36"/>
      <c r="O144" s="90"/>
      <c r="P144" s="90"/>
      <c r="Q144" s="90"/>
      <c r="R144" s="90"/>
      <c r="S144" s="90"/>
      <c r="T144" s="90"/>
      <c r="U144" s="90"/>
      <c r="V144" s="90"/>
      <c r="W144" s="90"/>
      <c r="X144" s="91"/>
      <c r="Y144" s="91"/>
      <c r="Z144" s="91"/>
      <c r="AA144" s="91"/>
      <c r="AB144" s="91"/>
      <c r="AC144" s="37"/>
      <c r="AD144" s="90"/>
    </row>
    <row r="145" spans="1:30">
      <c r="A145" s="100"/>
      <c r="B145" s="94"/>
      <c r="C145" s="94"/>
      <c r="D145" s="101"/>
      <c r="E145" s="53"/>
      <c r="F145" s="36"/>
      <c r="G145" s="60"/>
      <c r="H145" s="51"/>
      <c r="I145" s="48"/>
      <c r="J145" s="51"/>
      <c r="K145" s="30"/>
      <c r="L145" s="36"/>
      <c r="M145" s="36"/>
      <c r="N145" s="36"/>
      <c r="O145" s="90"/>
      <c r="P145" s="90"/>
      <c r="Q145" s="90"/>
      <c r="R145" s="90"/>
      <c r="S145" s="90"/>
      <c r="T145" s="90"/>
      <c r="U145" s="90"/>
      <c r="V145" s="90"/>
      <c r="W145" s="90"/>
      <c r="X145" s="91"/>
      <c r="Y145" s="91"/>
      <c r="Z145" s="91"/>
      <c r="AA145" s="91"/>
      <c r="AB145" s="91"/>
      <c r="AC145" s="37"/>
      <c r="AD145" s="90"/>
    </row>
    <row r="146" spans="1:30">
      <c r="A146" s="102"/>
      <c r="B146" s="103"/>
      <c r="C146" s="103"/>
      <c r="D146" s="104"/>
      <c r="E146" s="61"/>
      <c r="G146" s="60"/>
      <c r="H146" s="62"/>
      <c r="I146" s="63"/>
      <c r="J146" s="62"/>
      <c r="X146" s="91"/>
      <c r="Y146" s="91"/>
      <c r="Z146" s="91"/>
      <c r="AA146" s="91"/>
      <c r="AB146" s="91"/>
      <c r="AC146" s="37"/>
    </row>
    <row r="147" spans="1:30">
      <c r="A147" s="102"/>
      <c r="B147" s="103"/>
      <c r="C147" s="103"/>
      <c r="D147" s="104"/>
      <c r="E147" s="61"/>
      <c r="G147" s="60"/>
      <c r="H147" s="62"/>
      <c r="I147" s="63"/>
      <c r="J147" s="62"/>
      <c r="X147" s="91"/>
      <c r="Y147" s="91"/>
      <c r="Z147" s="91"/>
      <c r="AA147" s="91"/>
      <c r="AB147" s="91"/>
      <c r="AC147" s="37"/>
    </row>
    <row r="148" spans="1:30">
      <c r="A148" s="102"/>
      <c r="B148" s="103"/>
      <c r="C148" s="103"/>
      <c r="D148" s="104"/>
      <c r="E148" s="61"/>
      <c r="G148" s="60"/>
      <c r="H148" s="62"/>
      <c r="I148" s="63"/>
      <c r="J148" s="62"/>
      <c r="X148" s="91"/>
      <c r="Y148" s="91"/>
      <c r="Z148" s="91"/>
      <c r="AA148" s="91"/>
      <c r="AB148" s="91"/>
      <c r="AC148" s="37"/>
    </row>
    <row r="149" spans="1:30">
      <c r="A149" s="102"/>
      <c r="B149" s="103"/>
      <c r="C149" s="103"/>
      <c r="D149" s="104"/>
      <c r="E149" s="61"/>
      <c r="G149" s="60"/>
      <c r="H149" s="62"/>
      <c r="I149" s="63"/>
      <c r="J149" s="62"/>
      <c r="X149" s="91"/>
      <c r="Y149" s="91"/>
      <c r="Z149" s="91"/>
      <c r="AA149" s="91"/>
      <c r="AB149" s="91"/>
      <c r="AC149" s="37"/>
    </row>
    <row r="150" spans="1:30">
      <c r="A150" s="102"/>
      <c r="B150" s="103"/>
      <c r="C150" s="103"/>
      <c r="D150" s="104"/>
      <c r="E150" s="61"/>
      <c r="G150" s="60"/>
      <c r="H150" s="62"/>
      <c r="I150" s="63"/>
      <c r="J150" s="62"/>
      <c r="X150" s="91"/>
      <c r="Y150" s="91"/>
      <c r="Z150" s="91"/>
      <c r="AA150" s="91"/>
      <c r="AB150" s="91"/>
      <c r="AC150" s="37"/>
    </row>
    <row r="151" spans="1:30">
      <c r="A151" s="102"/>
      <c r="B151" s="103"/>
      <c r="C151" s="103"/>
      <c r="D151" s="104"/>
      <c r="E151" s="61"/>
      <c r="G151" s="60"/>
      <c r="H151" s="62"/>
      <c r="I151" s="63"/>
      <c r="J151" s="62"/>
      <c r="X151" s="91"/>
      <c r="Y151" s="91"/>
      <c r="Z151" s="91"/>
      <c r="AA151" s="91"/>
      <c r="AB151" s="91"/>
      <c r="AC151" s="37"/>
    </row>
    <row r="152" spans="1:30">
      <c r="A152" s="102"/>
      <c r="B152" s="103"/>
      <c r="C152" s="103"/>
      <c r="D152" s="104"/>
      <c r="E152" s="61"/>
      <c r="G152" s="60"/>
      <c r="H152" s="62"/>
      <c r="I152" s="63"/>
      <c r="J152" s="62"/>
      <c r="X152" s="91"/>
      <c r="Y152" s="91"/>
      <c r="Z152" s="91"/>
      <c r="AA152" s="91"/>
      <c r="AB152" s="91"/>
      <c r="AC152" s="37"/>
    </row>
    <row r="153" spans="1:30">
      <c r="A153" s="102"/>
      <c r="B153" s="103"/>
      <c r="C153" s="103"/>
      <c r="D153" s="104"/>
      <c r="E153" s="61"/>
      <c r="G153" s="60"/>
      <c r="H153" s="62"/>
      <c r="I153" s="63"/>
      <c r="J153" s="62"/>
      <c r="X153" s="91"/>
      <c r="Y153" s="91"/>
      <c r="Z153" s="91"/>
      <c r="AA153" s="91"/>
      <c r="AB153" s="91"/>
      <c r="AC153" s="37"/>
    </row>
    <row r="154" spans="1:30">
      <c r="A154" s="102"/>
      <c r="B154" s="103"/>
      <c r="C154" s="103"/>
      <c r="D154" s="104"/>
      <c r="E154" s="61"/>
      <c r="G154" s="60"/>
      <c r="H154" s="62"/>
      <c r="I154" s="63"/>
      <c r="J154" s="62"/>
      <c r="X154" s="91"/>
      <c r="Y154" s="91"/>
      <c r="Z154" s="91"/>
      <c r="AA154" s="91"/>
      <c r="AB154" s="91"/>
      <c r="AC154" s="37"/>
    </row>
    <row r="155" spans="1:30">
      <c r="A155" s="102"/>
      <c r="B155" s="103"/>
      <c r="C155" s="103"/>
      <c r="D155" s="104"/>
      <c r="E155" s="61"/>
      <c r="G155" s="60"/>
      <c r="H155" s="62"/>
      <c r="I155" s="63"/>
      <c r="J155" s="62"/>
      <c r="X155" s="91"/>
      <c r="Y155" s="91"/>
      <c r="Z155" s="91"/>
      <c r="AA155" s="91"/>
      <c r="AB155" s="91"/>
      <c r="AC155" s="37"/>
    </row>
    <row r="156" spans="1:30">
      <c r="A156" s="102"/>
      <c r="B156" s="103"/>
      <c r="C156" s="103"/>
      <c r="D156" s="104"/>
      <c r="E156" s="61"/>
      <c r="G156" s="60"/>
      <c r="H156" s="62"/>
      <c r="I156" s="63"/>
      <c r="J156" s="62"/>
      <c r="X156" s="91"/>
      <c r="Y156" s="91"/>
      <c r="Z156" s="91"/>
      <c r="AA156" s="91"/>
      <c r="AB156" s="91"/>
      <c r="AC156" s="37"/>
    </row>
    <row r="157" spans="1:30">
      <c r="A157" s="102"/>
      <c r="B157" s="103"/>
      <c r="C157" s="103"/>
      <c r="D157" s="104"/>
      <c r="E157" s="61"/>
      <c r="G157" s="60"/>
      <c r="H157" s="62"/>
      <c r="I157" s="63"/>
      <c r="J157" s="62"/>
      <c r="X157" s="91"/>
      <c r="Y157" s="91"/>
      <c r="Z157" s="91"/>
      <c r="AA157" s="91"/>
      <c r="AB157" s="91"/>
      <c r="AC157" s="37"/>
    </row>
    <row r="158" spans="1:30">
      <c r="A158" s="102"/>
      <c r="B158" s="103"/>
      <c r="C158" s="103"/>
      <c r="D158" s="104"/>
      <c r="E158" s="61"/>
      <c r="G158" s="60"/>
      <c r="H158" s="62"/>
      <c r="I158" s="63"/>
      <c r="J158" s="62"/>
      <c r="X158" s="91"/>
      <c r="Y158" s="91"/>
      <c r="Z158" s="91"/>
      <c r="AA158" s="91"/>
      <c r="AB158" s="91"/>
      <c r="AC158" s="37"/>
    </row>
    <row r="159" spans="1:30">
      <c r="A159" s="102"/>
      <c r="B159" s="103"/>
      <c r="C159" s="103"/>
      <c r="D159" s="104"/>
      <c r="E159" s="61"/>
      <c r="G159" s="60"/>
      <c r="H159" s="62"/>
      <c r="I159" s="63"/>
      <c r="J159" s="62"/>
      <c r="X159" s="91"/>
      <c r="Y159" s="91"/>
      <c r="Z159" s="91"/>
      <c r="AA159" s="91"/>
      <c r="AB159" s="91"/>
      <c r="AC159" s="37"/>
    </row>
    <row r="160" spans="1:30">
      <c r="A160" s="102"/>
      <c r="B160" s="103"/>
      <c r="C160" s="103"/>
      <c r="D160" s="104"/>
      <c r="E160" s="61"/>
      <c r="G160" s="60"/>
      <c r="H160" s="62"/>
      <c r="I160" s="63"/>
      <c r="J160" s="62"/>
      <c r="X160" s="91"/>
      <c r="Y160" s="91"/>
      <c r="Z160" s="91"/>
      <c r="AA160" s="91"/>
      <c r="AB160" s="91"/>
      <c r="AC160" s="37"/>
    </row>
    <row r="161" spans="1:29">
      <c r="A161" s="102"/>
      <c r="B161" s="103"/>
      <c r="C161" s="103"/>
      <c r="D161" s="104"/>
      <c r="E161" s="61"/>
      <c r="G161" s="60"/>
      <c r="H161" s="62"/>
      <c r="I161" s="63"/>
      <c r="J161" s="62"/>
      <c r="X161" s="91"/>
      <c r="Y161" s="91"/>
      <c r="Z161" s="91"/>
      <c r="AA161" s="91"/>
      <c r="AB161" s="91"/>
      <c r="AC161" s="37"/>
    </row>
    <row r="162" spans="1:29">
      <c r="A162" s="102"/>
      <c r="B162" s="103"/>
      <c r="C162" s="103"/>
      <c r="D162" s="104"/>
      <c r="E162" s="61"/>
      <c r="G162" s="60"/>
      <c r="H162" s="62"/>
      <c r="I162" s="63"/>
      <c r="J162" s="62"/>
      <c r="X162" s="91"/>
      <c r="Y162" s="91"/>
      <c r="Z162" s="91"/>
      <c r="AA162" s="91"/>
      <c r="AB162" s="91"/>
      <c r="AC162" s="37"/>
    </row>
    <row r="163" spans="1:29">
      <c r="A163" s="102"/>
      <c r="B163" s="103"/>
      <c r="C163" s="103"/>
      <c r="D163" s="104"/>
      <c r="E163" s="61"/>
      <c r="G163" s="60"/>
      <c r="H163" s="62"/>
      <c r="I163" s="63"/>
      <c r="J163" s="62"/>
      <c r="X163" s="91"/>
      <c r="Y163" s="91"/>
      <c r="Z163" s="91"/>
      <c r="AA163" s="91"/>
      <c r="AB163" s="91"/>
      <c r="AC163" s="37"/>
    </row>
    <row r="164" spans="1:29">
      <c r="A164" s="102"/>
      <c r="B164" s="103"/>
      <c r="C164" s="103"/>
      <c r="D164" s="104"/>
      <c r="E164" s="61"/>
      <c r="G164" s="60"/>
      <c r="H164" s="62"/>
      <c r="I164" s="63"/>
      <c r="J164" s="62"/>
      <c r="X164" s="91"/>
      <c r="Y164" s="91"/>
      <c r="Z164" s="91"/>
      <c r="AA164" s="91"/>
      <c r="AB164" s="91"/>
      <c r="AC164" s="37"/>
    </row>
    <row r="165" spans="1:29">
      <c r="A165" s="102"/>
      <c r="B165" s="103"/>
      <c r="C165" s="103"/>
      <c r="D165" s="104"/>
      <c r="E165" s="61"/>
      <c r="G165" s="60"/>
      <c r="H165" s="62"/>
      <c r="I165" s="63"/>
      <c r="J165" s="62"/>
      <c r="X165" s="91"/>
      <c r="Y165" s="91"/>
      <c r="Z165" s="91"/>
      <c r="AA165" s="91"/>
      <c r="AB165" s="91"/>
      <c r="AC165" s="37"/>
    </row>
    <row r="166" spans="1:29">
      <c r="A166" s="102"/>
      <c r="B166" s="103"/>
      <c r="C166" s="103"/>
      <c r="D166" s="104"/>
      <c r="E166" s="61"/>
      <c r="G166" s="60"/>
      <c r="H166" s="62"/>
      <c r="I166" s="63"/>
      <c r="J166" s="62"/>
      <c r="X166" s="91"/>
      <c r="Y166" s="91"/>
      <c r="Z166" s="91"/>
      <c r="AA166" s="91"/>
      <c r="AB166" s="91"/>
      <c r="AC166" s="37"/>
    </row>
    <row r="167" spans="1:29">
      <c r="A167" s="102"/>
      <c r="B167" s="103"/>
      <c r="C167" s="103"/>
      <c r="D167" s="104"/>
      <c r="E167" s="61"/>
      <c r="G167" s="60"/>
      <c r="H167" s="62"/>
      <c r="I167" s="63"/>
      <c r="J167" s="62"/>
      <c r="X167" s="91"/>
      <c r="Y167" s="91"/>
      <c r="Z167" s="91"/>
      <c r="AA167" s="91"/>
      <c r="AB167" s="91"/>
      <c r="AC167" s="37"/>
    </row>
    <row r="168" spans="1:29">
      <c r="A168" s="102"/>
      <c r="B168" s="103"/>
      <c r="C168" s="103"/>
      <c r="D168" s="104"/>
      <c r="E168" s="61"/>
      <c r="G168" s="60"/>
      <c r="H168" s="62"/>
      <c r="I168" s="63"/>
      <c r="J168" s="62"/>
      <c r="X168" s="91"/>
      <c r="Y168" s="91"/>
      <c r="Z168" s="91"/>
      <c r="AA168" s="91"/>
      <c r="AB168" s="91"/>
      <c r="AC168" s="37"/>
    </row>
    <row r="169" spans="1:29">
      <c r="A169" s="102"/>
      <c r="B169" s="103"/>
      <c r="C169" s="103"/>
      <c r="D169" s="104"/>
      <c r="E169" s="61"/>
      <c r="G169" s="60"/>
      <c r="H169" s="62"/>
      <c r="I169" s="63"/>
      <c r="J169" s="62"/>
      <c r="X169" s="91"/>
      <c r="Y169" s="91"/>
      <c r="Z169" s="91"/>
      <c r="AA169" s="91"/>
      <c r="AB169" s="91"/>
      <c r="AC169" s="37"/>
    </row>
    <row r="170" spans="1:29">
      <c r="A170" s="102"/>
      <c r="B170" s="103"/>
      <c r="C170" s="103"/>
      <c r="D170" s="104"/>
      <c r="E170" s="61"/>
      <c r="G170" s="60"/>
      <c r="H170" s="62"/>
      <c r="I170" s="63"/>
      <c r="J170" s="62"/>
      <c r="X170" s="91"/>
      <c r="Y170" s="91"/>
      <c r="Z170" s="91"/>
      <c r="AA170" s="91"/>
      <c r="AB170" s="91"/>
      <c r="AC170" s="37"/>
    </row>
    <row r="171" spans="1:29">
      <c r="A171" s="102"/>
      <c r="B171" s="103"/>
      <c r="C171" s="103"/>
      <c r="D171" s="104"/>
      <c r="E171" s="61"/>
      <c r="G171" s="60"/>
      <c r="H171" s="62"/>
      <c r="I171" s="63"/>
      <c r="J171" s="62"/>
      <c r="X171" s="91"/>
      <c r="Y171" s="91"/>
      <c r="Z171" s="91"/>
      <c r="AA171" s="91"/>
      <c r="AB171" s="91"/>
      <c r="AC171" s="37"/>
    </row>
    <row r="172" spans="1:29">
      <c r="A172" s="102"/>
      <c r="B172" s="103"/>
      <c r="C172" s="103"/>
      <c r="D172" s="104"/>
      <c r="E172" s="61"/>
      <c r="G172" s="60"/>
      <c r="H172" s="62"/>
      <c r="I172" s="63"/>
      <c r="J172" s="62"/>
      <c r="X172" s="91"/>
      <c r="Y172" s="91"/>
      <c r="Z172" s="91"/>
      <c r="AA172" s="91"/>
      <c r="AB172" s="91"/>
      <c r="AC172" s="37"/>
    </row>
    <row r="173" spans="1:29">
      <c r="A173" s="102"/>
      <c r="B173" s="103"/>
      <c r="C173" s="103"/>
      <c r="D173" s="104"/>
      <c r="E173" s="61"/>
      <c r="G173" s="60"/>
      <c r="H173" s="62"/>
      <c r="I173" s="63"/>
      <c r="J173" s="62"/>
      <c r="X173" s="91"/>
      <c r="Y173" s="91"/>
      <c r="Z173" s="91"/>
      <c r="AA173" s="91"/>
      <c r="AB173" s="91"/>
      <c r="AC173" s="37"/>
    </row>
    <row r="174" spans="1:29">
      <c r="A174" s="102"/>
      <c r="B174" s="103"/>
      <c r="C174" s="103"/>
      <c r="D174" s="104"/>
      <c r="E174" s="61"/>
      <c r="G174" s="60"/>
      <c r="H174" s="62"/>
      <c r="I174" s="63"/>
      <c r="J174" s="62"/>
      <c r="X174" s="91"/>
      <c r="Y174" s="91"/>
      <c r="Z174" s="91"/>
      <c r="AA174" s="91"/>
      <c r="AB174" s="91"/>
      <c r="AC174" s="37"/>
    </row>
    <row r="175" spans="1:29">
      <c r="A175" s="102"/>
      <c r="B175" s="103"/>
      <c r="C175" s="103"/>
      <c r="D175" s="104"/>
      <c r="E175" s="61"/>
      <c r="G175" s="60"/>
      <c r="H175" s="62"/>
      <c r="I175" s="63"/>
      <c r="J175" s="62"/>
      <c r="X175" s="91"/>
      <c r="Y175" s="91"/>
      <c r="Z175" s="91"/>
      <c r="AA175" s="91"/>
      <c r="AB175" s="91"/>
      <c r="AC175" s="37"/>
    </row>
    <row r="176" spans="1:29">
      <c r="A176" s="102"/>
      <c r="B176" s="103"/>
      <c r="C176" s="103"/>
      <c r="D176" s="104"/>
      <c r="E176" s="61"/>
      <c r="G176" s="60"/>
      <c r="H176" s="62"/>
      <c r="I176" s="63"/>
      <c r="J176" s="62"/>
      <c r="X176" s="91"/>
      <c r="Y176" s="91"/>
      <c r="Z176" s="91"/>
      <c r="AA176" s="91"/>
      <c r="AB176" s="91"/>
      <c r="AC176" s="37"/>
    </row>
    <row r="177" spans="1:29">
      <c r="A177" s="102"/>
      <c r="B177" s="103"/>
      <c r="C177" s="103"/>
      <c r="D177" s="104"/>
      <c r="E177" s="61"/>
      <c r="G177" s="60"/>
      <c r="H177" s="62"/>
      <c r="I177" s="63"/>
      <c r="J177" s="62"/>
      <c r="X177" s="91"/>
      <c r="Y177" s="91"/>
      <c r="Z177" s="91"/>
      <c r="AA177" s="91"/>
      <c r="AB177" s="91"/>
      <c r="AC177" s="37"/>
    </row>
    <row r="178" spans="1:29">
      <c r="A178" s="102"/>
      <c r="B178" s="103"/>
      <c r="C178" s="103"/>
      <c r="D178" s="104"/>
      <c r="E178" s="61"/>
      <c r="G178" s="60"/>
      <c r="H178" s="62"/>
      <c r="I178" s="63"/>
      <c r="J178" s="62"/>
      <c r="X178" s="91"/>
      <c r="Y178" s="91"/>
      <c r="Z178" s="91"/>
      <c r="AA178" s="91"/>
      <c r="AB178" s="91"/>
      <c r="AC178" s="37"/>
    </row>
    <row r="179" spans="1:29">
      <c r="A179" s="102"/>
      <c r="B179" s="103"/>
      <c r="C179" s="103"/>
      <c r="D179" s="104"/>
      <c r="E179" s="61"/>
      <c r="G179" s="60"/>
      <c r="H179" s="62"/>
      <c r="I179" s="63"/>
      <c r="J179" s="62"/>
      <c r="X179" s="91"/>
      <c r="Y179" s="91"/>
      <c r="Z179" s="91"/>
      <c r="AA179" s="91"/>
      <c r="AB179" s="91"/>
      <c r="AC179" s="37"/>
    </row>
    <row r="180" spans="1:29">
      <c r="A180" s="102"/>
      <c r="B180" s="103"/>
      <c r="C180" s="103"/>
      <c r="D180" s="104"/>
      <c r="E180" s="61"/>
      <c r="G180" s="60"/>
      <c r="H180" s="62"/>
      <c r="I180" s="63"/>
      <c r="J180" s="62"/>
      <c r="X180" s="91"/>
      <c r="Y180" s="91"/>
      <c r="Z180" s="91"/>
      <c r="AA180" s="91"/>
      <c r="AB180" s="91"/>
      <c r="AC180" s="37"/>
    </row>
    <row r="181" spans="1:29">
      <c r="A181" s="102"/>
      <c r="B181" s="103"/>
      <c r="C181" s="103"/>
      <c r="D181" s="104"/>
      <c r="E181" s="61"/>
      <c r="G181" s="60"/>
      <c r="H181" s="62"/>
      <c r="I181" s="63"/>
      <c r="J181" s="62"/>
      <c r="X181" s="91"/>
      <c r="Y181" s="91"/>
      <c r="Z181" s="91"/>
      <c r="AA181" s="91"/>
      <c r="AB181" s="91"/>
      <c r="AC181" s="37"/>
    </row>
    <row r="182" spans="1:29">
      <c r="A182" s="102"/>
      <c r="B182" s="103"/>
      <c r="C182" s="103"/>
      <c r="D182" s="104"/>
      <c r="E182" s="61"/>
      <c r="G182" s="60"/>
      <c r="H182" s="62"/>
      <c r="I182" s="63"/>
      <c r="J182" s="62"/>
      <c r="X182" s="91"/>
      <c r="Y182" s="91"/>
      <c r="Z182" s="91"/>
      <c r="AA182" s="91"/>
      <c r="AB182" s="91"/>
      <c r="AC182" s="37"/>
    </row>
    <row r="183" spans="1:29">
      <c r="A183" s="102"/>
      <c r="B183" s="103"/>
      <c r="C183" s="103"/>
      <c r="D183" s="104"/>
      <c r="E183" s="61"/>
      <c r="G183" s="60"/>
      <c r="H183" s="62"/>
      <c r="I183" s="63"/>
      <c r="J183" s="62"/>
      <c r="X183" s="91"/>
      <c r="Y183" s="91"/>
      <c r="Z183" s="91"/>
      <c r="AA183" s="91"/>
      <c r="AB183" s="91"/>
      <c r="AC183" s="37"/>
    </row>
    <row r="184" spans="1:29">
      <c r="A184" s="102"/>
      <c r="B184" s="103"/>
      <c r="C184" s="103"/>
      <c r="D184" s="104"/>
      <c r="E184" s="61"/>
      <c r="G184" s="60"/>
      <c r="H184" s="62"/>
      <c r="I184" s="63"/>
      <c r="J184" s="62"/>
      <c r="X184" s="91"/>
      <c r="Y184" s="91"/>
      <c r="Z184" s="91"/>
      <c r="AA184" s="91"/>
      <c r="AB184" s="91"/>
      <c r="AC184" s="37"/>
    </row>
    <row r="185" spans="1:29">
      <c r="A185" s="102"/>
      <c r="B185" s="103"/>
      <c r="C185" s="103"/>
      <c r="D185" s="104"/>
      <c r="E185" s="61"/>
      <c r="G185" s="60"/>
      <c r="H185" s="62"/>
      <c r="I185" s="63"/>
      <c r="J185" s="62"/>
      <c r="X185" s="91"/>
      <c r="Y185" s="91"/>
      <c r="Z185" s="91"/>
      <c r="AA185" s="91"/>
      <c r="AB185" s="91"/>
      <c r="AC185" s="37"/>
    </row>
    <row r="186" spans="1:29">
      <c r="A186" s="102"/>
      <c r="B186" s="103"/>
      <c r="C186" s="103"/>
      <c r="D186" s="104"/>
      <c r="E186" s="61"/>
      <c r="G186" s="60"/>
      <c r="H186" s="62"/>
      <c r="I186" s="63"/>
      <c r="J186" s="62"/>
      <c r="X186" s="91"/>
      <c r="Y186" s="91"/>
      <c r="Z186" s="91"/>
      <c r="AA186" s="91"/>
      <c r="AB186" s="91"/>
      <c r="AC186" s="37"/>
    </row>
    <row r="187" spans="1:29">
      <c r="A187" s="102"/>
      <c r="B187" s="103"/>
      <c r="C187" s="103"/>
      <c r="D187" s="104"/>
      <c r="E187" s="61"/>
      <c r="G187" s="60"/>
      <c r="H187" s="62"/>
      <c r="I187" s="63"/>
      <c r="J187" s="62"/>
      <c r="X187" s="91"/>
      <c r="Y187" s="91"/>
      <c r="Z187" s="91"/>
      <c r="AA187" s="91"/>
      <c r="AB187" s="91"/>
      <c r="AC187" s="37"/>
    </row>
    <row r="188" spans="1:29">
      <c r="A188" s="102"/>
      <c r="B188" s="103"/>
      <c r="C188" s="103"/>
      <c r="D188" s="104"/>
      <c r="E188" s="61"/>
      <c r="G188" s="60"/>
      <c r="H188" s="62"/>
      <c r="I188" s="63"/>
      <c r="J188" s="62"/>
      <c r="X188" s="91"/>
      <c r="Y188" s="91"/>
      <c r="Z188" s="91"/>
      <c r="AA188" s="91"/>
      <c r="AB188" s="91"/>
      <c r="AC188" s="37"/>
    </row>
    <row r="189" spans="1:29">
      <c r="A189" s="102"/>
      <c r="B189" s="103"/>
      <c r="C189" s="103"/>
      <c r="D189" s="104"/>
      <c r="E189" s="61"/>
      <c r="G189" s="60"/>
      <c r="H189" s="62"/>
      <c r="I189" s="63"/>
      <c r="J189" s="62"/>
      <c r="X189" s="91"/>
      <c r="Y189" s="91"/>
      <c r="Z189" s="91"/>
      <c r="AA189" s="91"/>
      <c r="AB189" s="91"/>
      <c r="AC189" s="37"/>
    </row>
    <row r="190" spans="1:29">
      <c r="A190" s="102"/>
      <c r="B190" s="103"/>
      <c r="C190" s="103"/>
      <c r="D190" s="104"/>
      <c r="E190" s="61"/>
      <c r="G190" s="60"/>
      <c r="H190" s="62"/>
      <c r="I190" s="63"/>
      <c r="J190" s="62"/>
      <c r="X190" s="91"/>
      <c r="Y190" s="91"/>
      <c r="Z190" s="91"/>
      <c r="AA190" s="91"/>
      <c r="AB190" s="91"/>
      <c r="AC190" s="37"/>
    </row>
    <row r="191" spans="1:29">
      <c r="A191" s="102"/>
      <c r="B191" s="103"/>
      <c r="C191" s="103"/>
      <c r="D191" s="104"/>
      <c r="E191" s="61"/>
      <c r="G191" s="60"/>
      <c r="H191" s="62"/>
      <c r="I191" s="63"/>
      <c r="J191" s="62"/>
      <c r="X191" s="91"/>
      <c r="Y191" s="91"/>
      <c r="Z191" s="91"/>
      <c r="AA191" s="91"/>
      <c r="AB191" s="91"/>
      <c r="AC191" s="37"/>
    </row>
    <row r="192" spans="1:29">
      <c r="A192" s="102"/>
      <c r="B192" s="103"/>
      <c r="C192" s="103"/>
      <c r="D192" s="104"/>
      <c r="E192" s="61"/>
      <c r="G192" s="60"/>
      <c r="H192" s="62"/>
      <c r="I192" s="63"/>
      <c r="J192" s="62"/>
      <c r="X192" s="91"/>
      <c r="Y192" s="91"/>
      <c r="Z192" s="91"/>
      <c r="AA192" s="91"/>
      <c r="AB192" s="91"/>
      <c r="AC192" s="37"/>
    </row>
    <row r="193" spans="1:29">
      <c r="A193" s="102"/>
      <c r="B193" s="103"/>
      <c r="C193" s="103"/>
      <c r="D193" s="104"/>
      <c r="E193" s="61"/>
      <c r="G193" s="60"/>
      <c r="H193" s="62"/>
      <c r="I193" s="63"/>
      <c r="J193" s="62"/>
      <c r="X193" s="91"/>
      <c r="Y193" s="91"/>
      <c r="Z193" s="91"/>
      <c r="AA193" s="91"/>
      <c r="AB193" s="91"/>
      <c r="AC193" s="37"/>
    </row>
    <row r="194" spans="1:29">
      <c r="A194" s="102"/>
      <c r="B194" s="103"/>
      <c r="C194" s="103"/>
      <c r="D194" s="104"/>
      <c r="E194" s="61"/>
      <c r="G194" s="60"/>
      <c r="H194" s="62"/>
      <c r="I194" s="63"/>
      <c r="J194" s="62"/>
      <c r="X194" s="91"/>
      <c r="Y194" s="91"/>
      <c r="Z194" s="91"/>
      <c r="AA194" s="91"/>
      <c r="AB194" s="91"/>
      <c r="AC194" s="37"/>
    </row>
    <row r="195" spans="1:29">
      <c r="A195" s="102"/>
      <c r="B195" s="103"/>
      <c r="C195" s="103"/>
      <c r="D195" s="104"/>
      <c r="E195" s="61"/>
      <c r="G195" s="60"/>
      <c r="H195" s="62"/>
      <c r="I195" s="63"/>
      <c r="J195" s="62"/>
      <c r="X195" s="91"/>
      <c r="Y195" s="91"/>
      <c r="Z195" s="91"/>
      <c r="AA195" s="91"/>
      <c r="AB195" s="91"/>
      <c r="AC195" s="37"/>
    </row>
    <row r="196" spans="1:29">
      <c r="A196" s="102"/>
      <c r="B196" s="103"/>
      <c r="C196" s="103"/>
      <c r="D196" s="104"/>
      <c r="E196" s="61"/>
      <c r="G196" s="60"/>
      <c r="H196" s="62"/>
      <c r="I196" s="63"/>
      <c r="J196" s="62"/>
      <c r="X196" s="91"/>
      <c r="Y196" s="91"/>
      <c r="Z196" s="91"/>
      <c r="AA196" s="91"/>
      <c r="AB196" s="91"/>
      <c r="AC196" s="37"/>
    </row>
    <row r="197" spans="1:29">
      <c r="A197" s="102"/>
      <c r="B197" s="103"/>
      <c r="C197" s="103"/>
      <c r="D197" s="104"/>
      <c r="E197" s="61"/>
      <c r="G197" s="60"/>
      <c r="H197" s="62"/>
      <c r="I197" s="63"/>
      <c r="J197" s="62"/>
      <c r="X197" s="91"/>
      <c r="Y197" s="91"/>
      <c r="Z197" s="91"/>
      <c r="AA197" s="91"/>
      <c r="AB197" s="91"/>
      <c r="AC197" s="37"/>
    </row>
    <row r="198" spans="1:29">
      <c r="A198" s="102"/>
      <c r="B198" s="103"/>
      <c r="C198" s="103"/>
      <c r="D198" s="104"/>
      <c r="E198" s="61"/>
      <c r="G198" s="60"/>
      <c r="H198" s="62"/>
      <c r="I198" s="63"/>
      <c r="J198" s="62"/>
      <c r="X198" s="91"/>
      <c r="Y198" s="91"/>
      <c r="Z198" s="91"/>
      <c r="AA198" s="91"/>
      <c r="AB198" s="91"/>
      <c r="AC198" s="37"/>
    </row>
    <row r="199" spans="1:29">
      <c r="A199" s="102"/>
      <c r="B199" s="103"/>
      <c r="C199" s="103"/>
      <c r="D199" s="104"/>
      <c r="E199" s="61"/>
      <c r="G199" s="60"/>
      <c r="H199" s="62"/>
      <c r="I199" s="63"/>
      <c r="J199" s="62"/>
      <c r="X199" s="91"/>
      <c r="Y199" s="91"/>
      <c r="Z199" s="91"/>
      <c r="AA199" s="91"/>
      <c r="AB199" s="91"/>
      <c r="AC199" s="37"/>
    </row>
    <row r="200" spans="1:29">
      <c r="A200" s="102"/>
      <c r="B200" s="103"/>
      <c r="C200" s="103"/>
      <c r="D200" s="104"/>
      <c r="E200" s="61"/>
      <c r="G200" s="60"/>
      <c r="H200" s="62"/>
      <c r="I200" s="63"/>
      <c r="J200" s="62"/>
      <c r="X200" s="91"/>
      <c r="Y200" s="91"/>
      <c r="Z200" s="91"/>
      <c r="AA200" s="91"/>
      <c r="AB200" s="91"/>
      <c r="AC200" s="37"/>
    </row>
    <row r="201" spans="1:29">
      <c r="A201" s="102"/>
      <c r="B201" s="103"/>
      <c r="C201" s="103"/>
      <c r="D201" s="104"/>
      <c r="E201" s="61"/>
      <c r="G201" s="60"/>
      <c r="H201" s="62"/>
      <c r="I201" s="63"/>
      <c r="J201" s="62"/>
      <c r="X201" s="91"/>
      <c r="Y201" s="91"/>
      <c r="Z201" s="91"/>
      <c r="AA201" s="91"/>
      <c r="AB201" s="91"/>
      <c r="AC201" s="37"/>
    </row>
    <row r="202" spans="1:29">
      <c r="A202" s="102"/>
      <c r="B202" s="103"/>
      <c r="C202" s="103"/>
      <c r="D202" s="104"/>
      <c r="E202" s="61"/>
      <c r="G202" s="60"/>
      <c r="H202" s="62"/>
      <c r="I202" s="63"/>
      <c r="J202" s="62"/>
      <c r="X202" s="91"/>
      <c r="Y202" s="91"/>
      <c r="Z202" s="91"/>
      <c r="AA202" s="91"/>
      <c r="AB202" s="91"/>
      <c r="AC202" s="37"/>
    </row>
    <row r="203" spans="1:29">
      <c r="A203" s="102"/>
      <c r="B203" s="103"/>
      <c r="C203" s="103"/>
      <c r="D203" s="104"/>
      <c r="E203" s="61"/>
      <c r="G203" s="60"/>
      <c r="H203" s="62"/>
      <c r="I203" s="63"/>
      <c r="J203" s="62"/>
      <c r="X203" s="91"/>
      <c r="Y203" s="91"/>
      <c r="Z203" s="91"/>
      <c r="AA203" s="91"/>
      <c r="AB203" s="91"/>
      <c r="AC203" s="37"/>
    </row>
    <row r="204" spans="1:29">
      <c r="A204" s="102"/>
      <c r="B204" s="103"/>
      <c r="C204" s="103"/>
      <c r="D204" s="104"/>
      <c r="E204" s="61"/>
      <c r="G204" s="60"/>
      <c r="H204" s="62"/>
      <c r="I204" s="63"/>
      <c r="J204" s="62"/>
      <c r="X204" s="91"/>
      <c r="Y204" s="91"/>
      <c r="Z204" s="91"/>
      <c r="AA204" s="91"/>
      <c r="AB204" s="91"/>
      <c r="AC204" s="37"/>
    </row>
    <row r="205" spans="1:29">
      <c r="A205" s="102"/>
      <c r="B205" s="103"/>
      <c r="C205" s="103"/>
      <c r="D205" s="104"/>
      <c r="E205" s="61"/>
      <c r="G205" s="60"/>
      <c r="H205" s="62"/>
      <c r="I205" s="63"/>
      <c r="J205" s="62"/>
      <c r="X205" s="91"/>
      <c r="Y205" s="91"/>
      <c r="Z205" s="91"/>
      <c r="AA205" s="91"/>
      <c r="AB205" s="91"/>
      <c r="AC205" s="37"/>
    </row>
    <row r="206" spans="1:29">
      <c r="A206" s="102"/>
      <c r="B206" s="103"/>
      <c r="C206" s="103"/>
      <c r="D206" s="104"/>
      <c r="E206" s="61"/>
      <c r="G206" s="60"/>
      <c r="H206" s="62"/>
      <c r="I206" s="63"/>
      <c r="J206" s="62"/>
      <c r="X206" s="91"/>
      <c r="Y206" s="91"/>
      <c r="Z206" s="91"/>
      <c r="AA206" s="91"/>
      <c r="AB206" s="91"/>
      <c r="AC206" s="37"/>
    </row>
    <row r="207" spans="1:29">
      <c r="A207" s="102"/>
      <c r="B207" s="103"/>
      <c r="C207" s="103"/>
      <c r="D207" s="104"/>
      <c r="E207" s="61"/>
      <c r="G207" s="60"/>
      <c r="H207" s="62"/>
      <c r="I207" s="63"/>
      <c r="J207" s="62"/>
      <c r="X207" s="91"/>
      <c r="Y207" s="91"/>
      <c r="Z207" s="91"/>
      <c r="AA207" s="91"/>
      <c r="AB207" s="91"/>
      <c r="AC207" s="37"/>
    </row>
    <row r="208" spans="1:29">
      <c r="A208" s="102"/>
      <c r="B208" s="103"/>
      <c r="C208" s="103"/>
      <c r="D208" s="104"/>
      <c r="E208" s="61"/>
      <c r="G208" s="60"/>
      <c r="H208" s="62"/>
      <c r="I208" s="63"/>
      <c r="J208" s="62"/>
      <c r="X208" s="91"/>
      <c r="Y208" s="91"/>
      <c r="Z208" s="91"/>
      <c r="AA208" s="91"/>
      <c r="AB208" s="91"/>
      <c r="AC208" s="37"/>
    </row>
    <row r="209" spans="1:29">
      <c r="A209" s="102"/>
      <c r="B209" s="103"/>
      <c r="C209" s="103"/>
      <c r="D209" s="104"/>
      <c r="E209" s="61"/>
      <c r="G209" s="60"/>
      <c r="H209" s="62"/>
      <c r="I209" s="63"/>
      <c r="J209" s="62"/>
      <c r="X209" s="91"/>
      <c r="Y209" s="91"/>
      <c r="Z209" s="91"/>
      <c r="AA209" s="91"/>
      <c r="AB209" s="91"/>
      <c r="AC209" s="37"/>
    </row>
    <row r="210" spans="1:29">
      <c r="A210" s="102"/>
      <c r="B210" s="103"/>
      <c r="C210" s="103"/>
      <c r="D210" s="104"/>
      <c r="E210" s="61"/>
      <c r="G210" s="60"/>
      <c r="H210" s="62"/>
      <c r="I210" s="63"/>
      <c r="J210" s="62"/>
      <c r="X210" s="91"/>
      <c r="Y210" s="91"/>
      <c r="Z210" s="91"/>
      <c r="AA210" s="91"/>
      <c r="AB210" s="91"/>
      <c r="AC210" s="37"/>
    </row>
    <row r="211" spans="1:29">
      <c r="A211" s="102"/>
      <c r="B211" s="103"/>
      <c r="C211" s="103"/>
      <c r="D211" s="104"/>
      <c r="E211" s="61"/>
      <c r="G211" s="60"/>
      <c r="H211" s="62"/>
      <c r="I211" s="63"/>
      <c r="J211" s="62"/>
      <c r="X211" s="91"/>
      <c r="Y211" s="91"/>
      <c r="Z211" s="91"/>
      <c r="AA211" s="91"/>
      <c r="AB211" s="91"/>
      <c r="AC211" s="37"/>
    </row>
    <row r="212" spans="1:29">
      <c r="A212" s="102"/>
      <c r="B212" s="103"/>
      <c r="C212" s="103"/>
      <c r="D212" s="104"/>
      <c r="E212" s="61"/>
      <c r="G212" s="60"/>
      <c r="H212" s="62"/>
      <c r="I212" s="63"/>
      <c r="J212" s="62"/>
      <c r="X212" s="91"/>
      <c r="Y212" s="91"/>
      <c r="Z212" s="91"/>
      <c r="AA212" s="91"/>
      <c r="AB212" s="91"/>
      <c r="AC212" s="37"/>
    </row>
    <row r="213" spans="1:29">
      <c r="A213" s="102"/>
      <c r="B213" s="103"/>
      <c r="C213" s="103"/>
      <c r="D213" s="104"/>
      <c r="E213" s="61"/>
      <c r="G213" s="60"/>
      <c r="H213" s="62"/>
      <c r="I213" s="63"/>
      <c r="J213" s="62"/>
      <c r="X213" s="91"/>
      <c r="Y213" s="91"/>
      <c r="Z213" s="91"/>
      <c r="AA213" s="91"/>
      <c r="AB213" s="91"/>
      <c r="AC213" s="37"/>
    </row>
    <row r="214" spans="1:29">
      <c r="A214" s="102"/>
      <c r="B214" s="103"/>
      <c r="C214" s="103"/>
      <c r="D214" s="104"/>
      <c r="E214" s="61"/>
      <c r="G214" s="60"/>
      <c r="H214" s="62"/>
      <c r="I214" s="63"/>
      <c r="J214" s="62"/>
      <c r="X214" s="91"/>
      <c r="Y214" s="91"/>
      <c r="Z214" s="91"/>
      <c r="AA214" s="91"/>
      <c r="AB214" s="91"/>
      <c r="AC214" s="37"/>
    </row>
    <row r="215" spans="1:29">
      <c r="A215" s="102"/>
      <c r="B215" s="103"/>
      <c r="C215" s="103"/>
      <c r="D215" s="104"/>
      <c r="E215" s="61"/>
      <c r="G215" s="60"/>
      <c r="H215" s="62"/>
      <c r="I215" s="63"/>
      <c r="J215" s="62"/>
      <c r="X215" s="91"/>
      <c r="Y215" s="91"/>
      <c r="Z215" s="91"/>
      <c r="AA215" s="91"/>
      <c r="AB215" s="91"/>
      <c r="AC215" s="37"/>
    </row>
    <row r="216" spans="1:29">
      <c r="A216" s="102"/>
      <c r="B216" s="103"/>
      <c r="C216" s="103"/>
      <c r="D216" s="104"/>
      <c r="E216" s="61"/>
      <c r="G216" s="60"/>
      <c r="H216" s="62"/>
      <c r="I216" s="63"/>
      <c r="J216" s="62"/>
      <c r="X216" s="91"/>
      <c r="Y216" s="91"/>
      <c r="Z216" s="91"/>
      <c r="AA216" s="91"/>
      <c r="AB216" s="91"/>
      <c r="AC216" s="37"/>
    </row>
    <row r="217" spans="1:29">
      <c r="A217" s="102"/>
      <c r="B217" s="103"/>
      <c r="C217" s="103"/>
      <c r="D217" s="104"/>
      <c r="E217" s="61"/>
      <c r="G217" s="60"/>
      <c r="H217" s="62"/>
      <c r="I217" s="63"/>
      <c r="J217" s="62"/>
      <c r="X217" s="91"/>
      <c r="Y217" s="91"/>
      <c r="Z217" s="91"/>
      <c r="AA217" s="91"/>
      <c r="AB217" s="91"/>
      <c r="AC217" s="37"/>
    </row>
    <row r="218" spans="1:29">
      <c r="A218" s="102"/>
      <c r="B218" s="103"/>
      <c r="C218" s="103"/>
      <c r="D218" s="104"/>
      <c r="E218" s="61"/>
      <c r="G218" s="60"/>
      <c r="H218" s="62"/>
      <c r="I218" s="63"/>
      <c r="J218" s="62"/>
      <c r="X218" s="91"/>
      <c r="Y218" s="91"/>
      <c r="Z218" s="91"/>
      <c r="AA218" s="91"/>
      <c r="AB218" s="91"/>
      <c r="AC218" s="37"/>
    </row>
    <row r="219" spans="1:29">
      <c r="A219" s="102"/>
      <c r="B219" s="103"/>
      <c r="C219" s="103"/>
      <c r="D219" s="104"/>
      <c r="E219" s="61"/>
      <c r="G219" s="60"/>
      <c r="H219" s="62"/>
      <c r="I219" s="63"/>
      <c r="J219" s="62"/>
      <c r="X219" s="91"/>
      <c r="Y219" s="91"/>
      <c r="Z219" s="91"/>
      <c r="AA219" s="91"/>
      <c r="AB219" s="91"/>
      <c r="AC219" s="37"/>
    </row>
    <row r="220" spans="1:29">
      <c r="A220" s="102"/>
      <c r="B220" s="103"/>
      <c r="C220" s="103"/>
      <c r="D220" s="104"/>
      <c r="E220" s="61"/>
      <c r="G220" s="60"/>
      <c r="H220" s="62"/>
      <c r="I220" s="63"/>
      <c r="J220" s="62"/>
      <c r="X220" s="91"/>
      <c r="Y220" s="91"/>
      <c r="Z220" s="91"/>
      <c r="AA220" s="91"/>
      <c r="AB220" s="91"/>
      <c r="AC220" s="37"/>
    </row>
    <row r="221" spans="1:29">
      <c r="A221" s="102"/>
      <c r="B221" s="103"/>
      <c r="C221" s="103"/>
      <c r="D221" s="104"/>
      <c r="E221" s="61"/>
      <c r="G221" s="60"/>
      <c r="H221" s="62"/>
      <c r="I221" s="63"/>
      <c r="J221" s="62"/>
      <c r="X221" s="91"/>
      <c r="Y221" s="91"/>
      <c r="Z221" s="91"/>
      <c r="AA221" s="91"/>
      <c r="AB221" s="91"/>
      <c r="AC221" s="37"/>
    </row>
    <row r="222" spans="1:29">
      <c r="A222" s="102"/>
      <c r="B222" s="103"/>
      <c r="C222" s="103"/>
      <c r="D222" s="104"/>
      <c r="E222" s="61"/>
      <c r="G222" s="60"/>
      <c r="H222" s="62"/>
      <c r="I222" s="63"/>
      <c r="J222" s="62"/>
      <c r="X222" s="91"/>
      <c r="Y222" s="91"/>
      <c r="Z222" s="91"/>
      <c r="AA222" s="91"/>
      <c r="AB222" s="91"/>
      <c r="AC222" s="37"/>
    </row>
    <row r="223" spans="1:29">
      <c r="A223" s="102"/>
      <c r="B223" s="103"/>
      <c r="C223" s="103"/>
      <c r="D223" s="104"/>
      <c r="E223" s="61"/>
      <c r="G223" s="60"/>
      <c r="H223" s="62"/>
      <c r="I223" s="63"/>
      <c r="J223" s="62"/>
      <c r="X223" s="91"/>
      <c r="Y223" s="91"/>
      <c r="Z223" s="91"/>
      <c r="AA223" s="91"/>
      <c r="AB223" s="91"/>
      <c r="AC223" s="37"/>
    </row>
    <row r="224" spans="1:29">
      <c r="A224" s="102"/>
      <c r="B224" s="103"/>
      <c r="C224" s="103"/>
      <c r="D224" s="104"/>
      <c r="E224" s="61"/>
      <c r="G224" s="60"/>
      <c r="H224" s="62"/>
      <c r="I224" s="63"/>
      <c r="J224" s="62"/>
      <c r="X224" s="91"/>
      <c r="Y224" s="91"/>
      <c r="Z224" s="91"/>
      <c r="AA224" s="91"/>
      <c r="AB224" s="91"/>
      <c r="AC224" s="37"/>
    </row>
    <row r="225" spans="1:29">
      <c r="A225" s="102"/>
      <c r="B225" s="103"/>
      <c r="C225" s="103"/>
      <c r="D225" s="104"/>
      <c r="E225" s="61"/>
      <c r="G225" s="60"/>
      <c r="H225" s="62"/>
      <c r="I225" s="63"/>
      <c r="J225" s="62"/>
      <c r="X225" s="91"/>
      <c r="Y225" s="91"/>
      <c r="Z225" s="91"/>
      <c r="AA225" s="91"/>
      <c r="AB225" s="91"/>
      <c r="AC225" s="37"/>
    </row>
    <row r="226" spans="1:29">
      <c r="A226" s="102"/>
      <c r="B226" s="103"/>
      <c r="C226" s="103"/>
      <c r="D226" s="104"/>
      <c r="E226" s="61"/>
      <c r="G226" s="60"/>
      <c r="H226" s="62"/>
      <c r="I226" s="63"/>
      <c r="J226" s="62"/>
      <c r="X226" s="91"/>
      <c r="Y226" s="91"/>
      <c r="Z226" s="91"/>
      <c r="AA226" s="91"/>
      <c r="AB226" s="91"/>
      <c r="AC226" s="37"/>
    </row>
    <row r="227" spans="1:29">
      <c r="A227" s="102"/>
      <c r="B227" s="103"/>
      <c r="C227" s="103"/>
      <c r="D227" s="104"/>
      <c r="E227" s="61"/>
      <c r="G227" s="60"/>
      <c r="H227" s="62"/>
      <c r="I227" s="63"/>
      <c r="J227" s="62"/>
      <c r="X227" s="91"/>
      <c r="Y227" s="91"/>
      <c r="Z227" s="91"/>
      <c r="AA227" s="91"/>
      <c r="AB227" s="91"/>
      <c r="AC227" s="37"/>
    </row>
    <row r="228" spans="1:29">
      <c r="A228" s="102"/>
      <c r="B228" s="103"/>
      <c r="C228" s="103"/>
      <c r="D228" s="104"/>
      <c r="E228" s="61"/>
      <c r="G228" s="60"/>
      <c r="H228" s="62"/>
      <c r="I228" s="63"/>
      <c r="J228" s="62"/>
      <c r="X228" s="91"/>
      <c r="Y228" s="91"/>
      <c r="Z228" s="91"/>
      <c r="AA228" s="91"/>
      <c r="AB228" s="91"/>
      <c r="AC228" s="37"/>
    </row>
    <row r="229" spans="1:29">
      <c r="A229" s="102"/>
      <c r="B229" s="103"/>
      <c r="C229" s="103"/>
      <c r="D229" s="104"/>
      <c r="E229" s="61"/>
      <c r="G229" s="60"/>
      <c r="H229" s="62"/>
      <c r="I229" s="63"/>
      <c r="J229" s="62"/>
      <c r="X229" s="91"/>
      <c r="Y229" s="91"/>
      <c r="Z229" s="91"/>
      <c r="AA229" s="91"/>
      <c r="AB229" s="91"/>
      <c r="AC229" s="37"/>
    </row>
    <row r="230" spans="1:29">
      <c r="A230" s="102"/>
      <c r="B230" s="103"/>
      <c r="C230" s="103"/>
      <c r="D230" s="104"/>
      <c r="E230" s="61"/>
      <c r="G230" s="60"/>
      <c r="H230" s="62"/>
      <c r="I230" s="63"/>
      <c r="J230" s="62"/>
      <c r="X230" s="91"/>
      <c r="Y230" s="91"/>
      <c r="Z230" s="91"/>
      <c r="AA230" s="91"/>
      <c r="AB230" s="91"/>
      <c r="AC230" s="37"/>
    </row>
    <row r="231" spans="1:29">
      <c r="A231" s="102"/>
      <c r="B231" s="103"/>
      <c r="C231" s="103"/>
      <c r="D231" s="104"/>
      <c r="E231" s="61"/>
      <c r="G231" s="60"/>
      <c r="H231" s="62"/>
      <c r="I231" s="63"/>
      <c r="J231" s="62"/>
      <c r="X231" s="91"/>
      <c r="Y231" s="91"/>
      <c r="Z231" s="91"/>
      <c r="AA231" s="91"/>
      <c r="AB231" s="91"/>
      <c r="AC231" s="37"/>
    </row>
    <row r="232" spans="1:29">
      <c r="A232" s="102"/>
      <c r="B232" s="103"/>
      <c r="C232" s="103"/>
      <c r="D232" s="104"/>
      <c r="E232" s="61"/>
      <c r="G232" s="60"/>
      <c r="H232" s="62"/>
      <c r="I232" s="63"/>
      <c r="J232" s="62"/>
      <c r="X232" s="91"/>
      <c r="Y232" s="91"/>
      <c r="Z232" s="91"/>
      <c r="AA232" s="91"/>
      <c r="AB232" s="91"/>
      <c r="AC232" s="37"/>
    </row>
    <row r="233" spans="1:29">
      <c r="A233" s="102"/>
      <c r="B233" s="103"/>
      <c r="C233" s="103"/>
      <c r="D233" s="104"/>
      <c r="E233" s="61"/>
      <c r="G233" s="60"/>
      <c r="H233" s="62"/>
      <c r="I233" s="63"/>
      <c r="J233" s="62"/>
      <c r="X233" s="91"/>
      <c r="Y233" s="91"/>
      <c r="Z233" s="91"/>
      <c r="AA233" s="91"/>
      <c r="AB233" s="91"/>
      <c r="AC233" s="37"/>
    </row>
    <row r="234" spans="1:29">
      <c r="A234" s="102"/>
      <c r="B234" s="103"/>
      <c r="C234" s="103"/>
      <c r="D234" s="104"/>
      <c r="E234" s="61"/>
      <c r="G234" s="60"/>
      <c r="H234" s="62"/>
      <c r="I234" s="63"/>
      <c r="J234" s="62"/>
      <c r="X234" s="91"/>
      <c r="Y234" s="91"/>
      <c r="Z234" s="91"/>
      <c r="AA234" s="91"/>
      <c r="AB234" s="91"/>
      <c r="AC234" s="37"/>
    </row>
    <row r="235" spans="1:29">
      <c r="A235" s="102"/>
      <c r="B235" s="103"/>
      <c r="C235" s="103"/>
      <c r="D235" s="104"/>
      <c r="E235" s="61"/>
      <c r="G235" s="60"/>
      <c r="H235" s="62"/>
      <c r="I235" s="63"/>
      <c r="J235" s="62"/>
      <c r="X235" s="91"/>
      <c r="Y235" s="91"/>
      <c r="Z235" s="91"/>
      <c r="AA235" s="91"/>
      <c r="AB235" s="91"/>
      <c r="AC235" s="37"/>
    </row>
    <row r="236" spans="1:29">
      <c r="A236" s="102"/>
      <c r="B236" s="103"/>
      <c r="C236" s="103"/>
      <c r="D236" s="104"/>
      <c r="E236" s="61"/>
      <c r="G236" s="60"/>
      <c r="H236" s="62"/>
      <c r="I236" s="63"/>
      <c r="J236" s="62"/>
      <c r="X236" s="91"/>
      <c r="Y236" s="91"/>
      <c r="Z236" s="91"/>
      <c r="AA236" s="91"/>
      <c r="AB236" s="91"/>
      <c r="AC236" s="37"/>
    </row>
    <row r="237" spans="1:29">
      <c r="A237" s="102"/>
      <c r="B237" s="103"/>
      <c r="C237" s="103"/>
      <c r="D237" s="104"/>
      <c r="E237" s="61"/>
      <c r="G237" s="60"/>
      <c r="H237" s="62"/>
      <c r="I237" s="63"/>
      <c r="J237" s="62"/>
      <c r="X237" s="91"/>
      <c r="Y237" s="91"/>
      <c r="Z237" s="91"/>
      <c r="AA237" s="91"/>
      <c r="AB237" s="91"/>
      <c r="AC237" s="37"/>
    </row>
    <row r="238" spans="1:29">
      <c r="A238" s="102"/>
      <c r="B238" s="103"/>
      <c r="C238" s="103"/>
      <c r="D238" s="104"/>
      <c r="E238" s="61"/>
      <c r="G238" s="60"/>
      <c r="H238" s="62"/>
      <c r="I238" s="63"/>
      <c r="J238" s="62"/>
      <c r="X238" s="91"/>
      <c r="Y238" s="91"/>
      <c r="Z238" s="91"/>
      <c r="AA238" s="91"/>
      <c r="AB238" s="91"/>
      <c r="AC238" s="37"/>
    </row>
    <row r="239" spans="1:29">
      <c r="A239" s="102"/>
      <c r="B239" s="103"/>
      <c r="C239" s="103"/>
      <c r="D239" s="104"/>
      <c r="E239" s="61"/>
      <c r="G239" s="60"/>
      <c r="H239" s="62"/>
      <c r="I239" s="63"/>
      <c r="J239" s="62"/>
      <c r="X239" s="91"/>
      <c r="Y239" s="91"/>
      <c r="Z239" s="91"/>
      <c r="AA239" s="91"/>
      <c r="AB239" s="91"/>
      <c r="AC239" s="37"/>
    </row>
    <row r="240" spans="1:29">
      <c r="A240" s="102"/>
      <c r="B240" s="103"/>
      <c r="C240" s="103"/>
      <c r="D240" s="104"/>
      <c r="E240" s="61"/>
      <c r="G240" s="60"/>
      <c r="H240" s="62"/>
      <c r="I240" s="63"/>
      <c r="J240" s="62"/>
      <c r="X240" s="91"/>
      <c r="Y240" s="91"/>
      <c r="Z240" s="91"/>
      <c r="AA240" s="91"/>
      <c r="AB240" s="91"/>
      <c r="AC240" s="37"/>
    </row>
    <row r="241" spans="1:29">
      <c r="A241" s="102"/>
      <c r="B241" s="103"/>
      <c r="C241" s="103"/>
      <c r="D241" s="104"/>
      <c r="E241" s="61"/>
      <c r="G241" s="60"/>
      <c r="H241" s="62"/>
      <c r="I241" s="63"/>
      <c r="J241" s="62"/>
      <c r="X241" s="91"/>
      <c r="Y241" s="91"/>
      <c r="Z241" s="91"/>
      <c r="AA241" s="91"/>
      <c r="AB241" s="91"/>
      <c r="AC241" s="37"/>
    </row>
    <row r="242" spans="1:29">
      <c r="A242" s="102"/>
      <c r="B242" s="103"/>
      <c r="C242" s="103"/>
      <c r="D242" s="104"/>
      <c r="E242" s="61"/>
      <c r="G242" s="60"/>
      <c r="H242" s="62"/>
      <c r="I242" s="63"/>
      <c r="J242" s="62"/>
      <c r="X242" s="91"/>
      <c r="Y242" s="91"/>
      <c r="Z242" s="91"/>
      <c r="AA242" s="91"/>
      <c r="AB242" s="91"/>
      <c r="AC242" s="37"/>
    </row>
    <row r="243" spans="1:29">
      <c r="A243" s="102"/>
      <c r="B243" s="103"/>
      <c r="C243" s="103"/>
      <c r="D243" s="104"/>
      <c r="E243" s="61"/>
      <c r="G243" s="60"/>
      <c r="H243" s="62"/>
      <c r="I243" s="63"/>
      <c r="J243" s="62"/>
      <c r="X243" s="91"/>
      <c r="Y243" s="91"/>
      <c r="Z243" s="91"/>
      <c r="AA243" s="91"/>
      <c r="AB243" s="91"/>
      <c r="AC243" s="37"/>
    </row>
    <row r="244" spans="1:29">
      <c r="A244" s="102"/>
      <c r="B244" s="103"/>
      <c r="C244" s="103"/>
      <c r="D244" s="104"/>
      <c r="E244" s="61"/>
      <c r="G244" s="60"/>
      <c r="H244" s="62"/>
      <c r="I244" s="63"/>
      <c r="J244" s="62"/>
      <c r="X244" s="91"/>
      <c r="Y244" s="91"/>
      <c r="Z244" s="91"/>
      <c r="AA244" s="91"/>
      <c r="AB244" s="91"/>
      <c r="AC244" s="37"/>
    </row>
    <row r="245" spans="1:29">
      <c r="A245" s="102"/>
      <c r="B245" s="103"/>
      <c r="C245" s="103"/>
      <c r="D245" s="104"/>
      <c r="E245" s="61"/>
      <c r="G245" s="60"/>
      <c r="H245" s="62"/>
      <c r="I245" s="63"/>
      <c r="J245" s="62"/>
      <c r="X245" s="91"/>
      <c r="Y245" s="91"/>
      <c r="Z245" s="91"/>
      <c r="AA245" s="91"/>
      <c r="AB245" s="91"/>
      <c r="AC245" s="37"/>
    </row>
    <row r="246" spans="1:29">
      <c r="A246" s="102"/>
      <c r="B246" s="103"/>
      <c r="C246" s="103"/>
      <c r="D246" s="104"/>
      <c r="E246" s="61"/>
      <c r="G246" s="60"/>
      <c r="H246" s="62"/>
      <c r="I246" s="63"/>
      <c r="J246" s="62"/>
      <c r="X246" s="91"/>
      <c r="Y246" s="91"/>
      <c r="Z246" s="91"/>
      <c r="AA246" s="91"/>
      <c r="AB246" s="91"/>
      <c r="AC246" s="37"/>
    </row>
    <row r="247" spans="1:29">
      <c r="A247" s="102"/>
      <c r="B247" s="103"/>
      <c r="C247" s="103"/>
      <c r="D247" s="104"/>
      <c r="E247" s="61"/>
      <c r="G247" s="60"/>
      <c r="H247" s="62"/>
      <c r="I247" s="63"/>
      <c r="J247" s="62"/>
      <c r="X247" s="91"/>
      <c r="Y247" s="91"/>
      <c r="Z247" s="91"/>
      <c r="AA247" s="91"/>
      <c r="AB247" s="91"/>
      <c r="AC247" s="37"/>
    </row>
    <row r="248" spans="1:29">
      <c r="A248" s="102"/>
      <c r="B248" s="103"/>
      <c r="C248" s="103"/>
      <c r="D248" s="104"/>
      <c r="E248" s="61"/>
      <c r="G248" s="60"/>
      <c r="H248" s="62"/>
      <c r="I248" s="63"/>
      <c r="J248" s="62"/>
      <c r="X248" s="91"/>
      <c r="Y248" s="91"/>
      <c r="Z248" s="91"/>
      <c r="AA248" s="91"/>
      <c r="AB248" s="91"/>
      <c r="AC248" s="37"/>
    </row>
    <row r="249" spans="1:29">
      <c r="A249" s="102"/>
      <c r="B249" s="103"/>
      <c r="C249" s="103"/>
      <c r="D249" s="104"/>
      <c r="E249" s="61"/>
      <c r="G249" s="60"/>
      <c r="H249" s="62"/>
      <c r="I249" s="63"/>
      <c r="J249" s="62"/>
      <c r="X249" s="91"/>
      <c r="Y249" s="91"/>
      <c r="Z249" s="91"/>
      <c r="AA249" s="91"/>
      <c r="AB249" s="91"/>
      <c r="AC249" s="37"/>
    </row>
    <row r="250" spans="1:29">
      <c r="A250" s="102"/>
      <c r="B250" s="103"/>
      <c r="C250" s="103"/>
      <c r="D250" s="104"/>
      <c r="E250" s="61"/>
      <c r="G250" s="60"/>
      <c r="H250" s="62"/>
      <c r="I250" s="63"/>
      <c r="J250" s="62"/>
      <c r="X250" s="91"/>
      <c r="Y250" s="91"/>
      <c r="Z250" s="91"/>
      <c r="AA250" s="91"/>
      <c r="AB250" s="91"/>
      <c r="AC250" s="37"/>
    </row>
    <row r="251" spans="1:29">
      <c r="A251" s="102"/>
      <c r="B251" s="103"/>
      <c r="C251" s="103"/>
      <c r="D251" s="104"/>
      <c r="E251" s="61"/>
      <c r="G251" s="60"/>
      <c r="H251" s="62"/>
      <c r="I251" s="63"/>
      <c r="J251" s="62"/>
      <c r="X251" s="91"/>
      <c r="Y251" s="91"/>
      <c r="Z251" s="91"/>
      <c r="AA251" s="91"/>
      <c r="AB251" s="91"/>
      <c r="AC251" s="37"/>
    </row>
    <row r="252" spans="1:29">
      <c r="A252" s="102"/>
      <c r="B252" s="103"/>
      <c r="C252" s="103"/>
      <c r="D252" s="104"/>
      <c r="E252" s="61"/>
      <c r="G252" s="60"/>
      <c r="H252" s="62"/>
      <c r="I252" s="63"/>
      <c r="J252" s="62"/>
      <c r="X252" s="91"/>
      <c r="Y252" s="91"/>
      <c r="Z252" s="91"/>
      <c r="AA252" s="91"/>
      <c r="AB252" s="91"/>
      <c r="AC252" s="37"/>
    </row>
    <row r="253" spans="1:29">
      <c r="A253" s="102"/>
      <c r="B253" s="103"/>
      <c r="C253" s="103"/>
      <c r="D253" s="104"/>
      <c r="E253" s="61"/>
      <c r="G253" s="60"/>
      <c r="H253" s="62"/>
      <c r="I253" s="63"/>
      <c r="J253" s="62"/>
      <c r="X253" s="91"/>
      <c r="Y253" s="91"/>
      <c r="Z253" s="91"/>
      <c r="AA253" s="91"/>
      <c r="AB253" s="91"/>
      <c r="AC253" s="37"/>
    </row>
    <row r="254" spans="1:29">
      <c r="A254" s="102"/>
      <c r="B254" s="103"/>
      <c r="C254" s="103"/>
      <c r="D254" s="104"/>
      <c r="E254" s="61"/>
      <c r="G254" s="60"/>
      <c r="H254" s="62"/>
      <c r="I254" s="63"/>
      <c r="J254" s="62"/>
      <c r="X254" s="91"/>
      <c r="Y254" s="91"/>
      <c r="Z254" s="91"/>
      <c r="AA254" s="91"/>
      <c r="AB254" s="91"/>
      <c r="AC254" s="37"/>
    </row>
    <row r="255" spans="1:29">
      <c r="A255" s="102"/>
      <c r="B255" s="103"/>
      <c r="C255" s="103"/>
      <c r="D255" s="104"/>
      <c r="E255" s="61"/>
      <c r="G255" s="60"/>
      <c r="H255" s="62"/>
      <c r="I255" s="63"/>
      <c r="J255" s="62"/>
      <c r="X255" s="91"/>
      <c r="Y255" s="91"/>
      <c r="Z255" s="91"/>
      <c r="AA255" s="91"/>
      <c r="AB255" s="91"/>
      <c r="AC255" s="37"/>
    </row>
    <row r="256" spans="1:29">
      <c r="A256" s="102"/>
      <c r="B256" s="103"/>
      <c r="C256" s="103"/>
      <c r="D256" s="104"/>
      <c r="E256" s="61"/>
      <c r="G256" s="60"/>
      <c r="H256" s="62"/>
      <c r="I256" s="63"/>
      <c r="J256" s="62"/>
      <c r="X256" s="91"/>
      <c r="Y256" s="91"/>
      <c r="Z256" s="91"/>
      <c r="AA256" s="91"/>
      <c r="AB256" s="91"/>
      <c r="AC256" s="37"/>
    </row>
    <row r="257" spans="1:29">
      <c r="A257" s="102"/>
      <c r="B257" s="103"/>
      <c r="C257" s="103"/>
      <c r="D257" s="104"/>
      <c r="E257" s="61"/>
      <c r="G257" s="60"/>
      <c r="H257" s="62"/>
      <c r="I257" s="63"/>
      <c r="J257" s="62"/>
      <c r="X257" s="91"/>
      <c r="Y257" s="91"/>
      <c r="Z257" s="91"/>
      <c r="AA257" s="91"/>
      <c r="AB257" s="91"/>
      <c r="AC257" s="37"/>
    </row>
    <row r="258" spans="1:29">
      <c r="A258" s="102"/>
      <c r="B258" s="103"/>
      <c r="C258" s="103"/>
      <c r="D258" s="104"/>
      <c r="E258" s="61"/>
      <c r="G258" s="60"/>
      <c r="H258" s="62"/>
      <c r="I258" s="63"/>
      <c r="J258" s="62"/>
      <c r="X258" s="91"/>
      <c r="Y258" s="91"/>
      <c r="Z258" s="91"/>
      <c r="AA258" s="91"/>
      <c r="AB258" s="91"/>
      <c r="AC258" s="37"/>
    </row>
    <row r="259" spans="1:29">
      <c r="A259" s="102"/>
      <c r="B259" s="103"/>
      <c r="C259" s="103"/>
      <c r="D259" s="104"/>
      <c r="E259" s="61"/>
      <c r="G259" s="60"/>
      <c r="H259" s="62"/>
      <c r="I259" s="63"/>
      <c r="J259" s="62"/>
      <c r="X259" s="91"/>
      <c r="Y259" s="91"/>
      <c r="Z259" s="91"/>
      <c r="AA259" s="91"/>
      <c r="AB259" s="91"/>
      <c r="AC259" s="37"/>
    </row>
    <row r="260" spans="1:29">
      <c r="A260" s="102"/>
      <c r="B260" s="103"/>
      <c r="C260" s="103"/>
      <c r="D260" s="104"/>
      <c r="E260" s="61"/>
      <c r="G260" s="60"/>
      <c r="H260" s="62"/>
      <c r="I260" s="63"/>
      <c r="J260" s="62"/>
      <c r="X260" s="91"/>
      <c r="Y260" s="91"/>
      <c r="Z260" s="91"/>
      <c r="AA260" s="91"/>
      <c r="AB260" s="91"/>
      <c r="AC260" s="37"/>
    </row>
    <row r="261" spans="1:29">
      <c r="A261" s="102"/>
      <c r="B261" s="103"/>
      <c r="C261" s="103"/>
      <c r="D261" s="104"/>
      <c r="E261" s="61"/>
      <c r="G261" s="60"/>
      <c r="H261" s="62"/>
      <c r="I261" s="63"/>
      <c r="J261" s="62"/>
      <c r="X261" s="91"/>
      <c r="Y261" s="91"/>
      <c r="Z261" s="91"/>
      <c r="AA261" s="91"/>
      <c r="AB261" s="91"/>
      <c r="AC261" s="37"/>
    </row>
    <row r="262" spans="1:29">
      <c r="A262" s="102"/>
      <c r="B262" s="103"/>
      <c r="C262" s="103"/>
      <c r="D262" s="104"/>
      <c r="E262" s="61"/>
      <c r="G262" s="60"/>
      <c r="H262" s="62"/>
      <c r="I262" s="63"/>
      <c r="J262" s="62"/>
      <c r="X262" s="91"/>
      <c r="Y262" s="91"/>
      <c r="Z262" s="91"/>
      <c r="AA262" s="91"/>
      <c r="AB262" s="91"/>
      <c r="AC262" s="37"/>
    </row>
    <row r="263" spans="1:29">
      <c r="A263" s="102"/>
      <c r="B263" s="103"/>
      <c r="C263" s="103"/>
      <c r="D263" s="104"/>
      <c r="E263" s="61"/>
      <c r="G263" s="60"/>
      <c r="H263" s="62"/>
      <c r="I263" s="63"/>
      <c r="J263" s="62"/>
      <c r="X263" s="91"/>
      <c r="Y263" s="91"/>
      <c r="Z263" s="91"/>
      <c r="AA263" s="91"/>
      <c r="AB263" s="91"/>
      <c r="AC263" s="37"/>
    </row>
    <row r="264" spans="1:29">
      <c r="A264" s="102"/>
      <c r="B264" s="103"/>
      <c r="C264" s="103"/>
      <c r="D264" s="104"/>
      <c r="E264" s="61"/>
      <c r="G264" s="60"/>
      <c r="H264" s="62"/>
      <c r="I264" s="63"/>
      <c r="J264" s="62"/>
      <c r="X264" s="91"/>
      <c r="Y264" s="91"/>
      <c r="Z264" s="91"/>
      <c r="AA264" s="91"/>
      <c r="AB264" s="91"/>
      <c r="AC264" s="37"/>
    </row>
    <row r="265" spans="1:29">
      <c r="A265" s="102"/>
      <c r="B265" s="103"/>
      <c r="C265" s="103"/>
      <c r="D265" s="104"/>
      <c r="E265" s="61"/>
      <c r="G265" s="60"/>
      <c r="H265" s="62"/>
      <c r="I265" s="63"/>
      <c r="J265" s="62"/>
      <c r="X265" s="91"/>
      <c r="Y265" s="91"/>
      <c r="Z265" s="91"/>
      <c r="AA265" s="91"/>
      <c r="AB265" s="91"/>
      <c r="AC265" s="37"/>
    </row>
    <row r="266" spans="1:29">
      <c r="A266" s="102"/>
      <c r="B266" s="103"/>
      <c r="C266" s="103"/>
      <c r="D266" s="104"/>
      <c r="E266" s="61"/>
      <c r="G266" s="60"/>
      <c r="H266" s="62"/>
      <c r="I266" s="63"/>
      <c r="J266" s="62"/>
      <c r="X266" s="91"/>
      <c r="Y266" s="91"/>
      <c r="Z266" s="91"/>
      <c r="AA266" s="91"/>
      <c r="AB266" s="91"/>
      <c r="AC266" s="37"/>
    </row>
    <row r="267" spans="1:29">
      <c r="A267" s="102"/>
      <c r="B267" s="103"/>
      <c r="C267" s="103"/>
      <c r="D267" s="104"/>
      <c r="E267" s="61"/>
      <c r="G267" s="60"/>
      <c r="H267" s="62"/>
      <c r="I267" s="63"/>
      <c r="J267" s="62"/>
      <c r="X267" s="91"/>
      <c r="Y267" s="91"/>
      <c r="Z267" s="91"/>
      <c r="AA267" s="91"/>
      <c r="AB267" s="91"/>
      <c r="AC267" s="37"/>
    </row>
    <row r="268" spans="1:29">
      <c r="A268" s="102"/>
      <c r="B268" s="103"/>
      <c r="C268" s="103"/>
      <c r="D268" s="104"/>
      <c r="E268" s="61"/>
      <c r="G268" s="60"/>
      <c r="H268" s="62"/>
      <c r="I268" s="63"/>
      <c r="J268" s="62"/>
      <c r="X268" s="91"/>
      <c r="Y268" s="91"/>
      <c r="Z268" s="91"/>
      <c r="AA268" s="91"/>
      <c r="AB268" s="91"/>
      <c r="AC268" s="37"/>
    </row>
    <row r="269" spans="1:29">
      <c r="A269" s="102"/>
      <c r="B269" s="103"/>
      <c r="C269" s="103"/>
      <c r="D269" s="104"/>
      <c r="E269" s="61"/>
      <c r="G269" s="60"/>
      <c r="H269" s="62"/>
      <c r="I269" s="63"/>
      <c r="J269" s="62"/>
      <c r="X269" s="91"/>
      <c r="Y269" s="91"/>
      <c r="Z269" s="91"/>
      <c r="AA269" s="91"/>
      <c r="AB269" s="91"/>
      <c r="AC269" s="37"/>
    </row>
    <row r="270" spans="1:29">
      <c r="A270" s="102"/>
      <c r="B270" s="103"/>
      <c r="C270" s="103"/>
      <c r="D270" s="104"/>
      <c r="E270" s="61"/>
      <c r="G270" s="60"/>
      <c r="H270" s="62"/>
      <c r="I270" s="63"/>
      <c r="J270" s="62"/>
      <c r="X270" s="91"/>
      <c r="Y270" s="91"/>
      <c r="Z270" s="91"/>
      <c r="AA270" s="91"/>
      <c r="AB270" s="91"/>
      <c r="AC270" s="37"/>
    </row>
    <row r="271" spans="1:29">
      <c r="A271" s="102"/>
      <c r="B271" s="103"/>
      <c r="C271" s="103"/>
      <c r="D271" s="104"/>
      <c r="E271" s="61"/>
      <c r="G271" s="60"/>
      <c r="H271" s="62"/>
      <c r="I271" s="63"/>
      <c r="J271" s="62"/>
      <c r="X271" s="91"/>
      <c r="Y271" s="91"/>
      <c r="Z271" s="91"/>
      <c r="AA271" s="91"/>
      <c r="AB271" s="91"/>
      <c r="AC271" s="37"/>
    </row>
    <row r="272" spans="1:29">
      <c r="A272" s="102"/>
      <c r="B272" s="103"/>
      <c r="C272" s="103"/>
      <c r="D272" s="104"/>
      <c r="E272" s="61"/>
      <c r="G272" s="60"/>
      <c r="H272" s="62"/>
      <c r="I272" s="63"/>
      <c r="J272" s="62"/>
      <c r="X272" s="91"/>
      <c r="Y272" s="91"/>
      <c r="Z272" s="91"/>
      <c r="AA272" s="91"/>
      <c r="AB272" s="91"/>
      <c r="AC272" s="37"/>
    </row>
    <row r="273" spans="1:29">
      <c r="A273" s="102"/>
      <c r="B273" s="103"/>
      <c r="C273" s="103"/>
      <c r="D273" s="104"/>
      <c r="E273" s="61"/>
      <c r="G273" s="60"/>
      <c r="H273" s="62"/>
      <c r="I273" s="63"/>
      <c r="J273" s="62"/>
      <c r="X273" s="91"/>
      <c r="Y273" s="91"/>
      <c r="Z273" s="91"/>
      <c r="AA273" s="91"/>
      <c r="AB273" s="91"/>
      <c r="AC273" s="37"/>
    </row>
    <row r="274" spans="1:29">
      <c r="A274" s="102"/>
      <c r="B274" s="103"/>
      <c r="C274" s="103"/>
      <c r="D274" s="104"/>
      <c r="E274" s="61"/>
      <c r="G274" s="60"/>
      <c r="H274" s="62"/>
      <c r="I274" s="63"/>
      <c r="J274" s="62"/>
      <c r="X274" s="91"/>
      <c r="Y274" s="91"/>
      <c r="Z274" s="91"/>
      <c r="AA274" s="91"/>
      <c r="AB274" s="91"/>
      <c r="AC274" s="37"/>
    </row>
    <row r="275" spans="1:29">
      <c r="A275" s="102"/>
      <c r="B275" s="103"/>
      <c r="C275" s="103"/>
      <c r="D275" s="104"/>
      <c r="E275" s="61"/>
      <c r="G275" s="60"/>
      <c r="H275" s="62"/>
      <c r="I275" s="63"/>
      <c r="J275" s="62"/>
      <c r="X275" s="91"/>
      <c r="Y275" s="91"/>
      <c r="Z275" s="91"/>
      <c r="AA275" s="91"/>
      <c r="AB275" s="91"/>
      <c r="AC275" s="37"/>
    </row>
    <row r="276" spans="1:29">
      <c r="A276" s="102"/>
      <c r="B276" s="103"/>
      <c r="C276" s="103"/>
      <c r="D276" s="104"/>
      <c r="E276" s="61"/>
      <c r="G276" s="60"/>
      <c r="H276" s="62"/>
      <c r="I276" s="63"/>
      <c r="J276" s="62"/>
      <c r="X276" s="91"/>
      <c r="Y276" s="91"/>
      <c r="Z276" s="91"/>
      <c r="AA276" s="91"/>
      <c r="AB276" s="91"/>
      <c r="AC276" s="37"/>
    </row>
    <row r="277" spans="1:29">
      <c r="A277" s="102"/>
      <c r="B277" s="103"/>
      <c r="C277" s="103"/>
      <c r="D277" s="104"/>
      <c r="E277" s="61"/>
      <c r="G277" s="60"/>
      <c r="H277" s="62"/>
      <c r="I277" s="63"/>
      <c r="J277" s="62"/>
      <c r="X277" s="91"/>
      <c r="Y277" s="91"/>
      <c r="Z277" s="91"/>
      <c r="AA277" s="91"/>
      <c r="AB277" s="91"/>
      <c r="AC277" s="37"/>
    </row>
    <row r="278" spans="1:29">
      <c r="A278" s="102"/>
      <c r="B278" s="103"/>
      <c r="C278" s="103"/>
      <c r="D278" s="104"/>
      <c r="E278" s="61"/>
      <c r="G278" s="60"/>
      <c r="H278" s="62"/>
      <c r="I278" s="63"/>
      <c r="J278" s="62"/>
      <c r="X278" s="91"/>
      <c r="Y278" s="91"/>
      <c r="Z278" s="91"/>
      <c r="AA278" s="91"/>
      <c r="AB278" s="91"/>
      <c r="AC278" s="37"/>
    </row>
    <row r="279" spans="1:29">
      <c r="A279" s="102"/>
      <c r="B279" s="103"/>
      <c r="C279" s="103"/>
      <c r="D279" s="104"/>
      <c r="E279" s="61"/>
      <c r="G279" s="60"/>
      <c r="H279" s="62"/>
      <c r="I279" s="63"/>
      <c r="J279" s="62"/>
      <c r="X279" s="91"/>
      <c r="Y279" s="91"/>
      <c r="Z279" s="91"/>
      <c r="AA279" s="91"/>
      <c r="AB279" s="91"/>
      <c r="AC279" s="37"/>
    </row>
    <row r="280" spans="1:29">
      <c r="A280" s="102"/>
      <c r="B280" s="103"/>
      <c r="C280" s="103"/>
      <c r="D280" s="104"/>
      <c r="E280" s="61"/>
      <c r="G280" s="60"/>
      <c r="H280" s="62"/>
      <c r="I280" s="63"/>
      <c r="J280" s="62"/>
      <c r="X280" s="91"/>
      <c r="Y280" s="91"/>
      <c r="Z280" s="91"/>
      <c r="AA280" s="91"/>
      <c r="AB280" s="91"/>
      <c r="AC280" s="37"/>
    </row>
    <row r="281" spans="1:29">
      <c r="A281" s="102"/>
      <c r="B281" s="103"/>
      <c r="C281" s="103"/>
      <c r="D281" s="104"/>
      <c r="E281" s="61"/>
      <c r="G281" s="60"/>
      <c r="H281" s="62"/>
      <c r="I281" s="63"/>
      <c r="J281" s="62"/>
      <c r="X281" s="91"/>
      <c r="Y281" s="91"/>
      <c r="Z281" s="91"/>
      <c r="AA281" s="91"/>
      <c r="AB281" s="91"/>
      <c r="AC281" s="37"/>
    </row>
    <row r="282" spans="1:29">
      <c r="A282" s="102"/>
      <c r="B282" s="103"/>
      <c r="C282" s="103"/>
      <c r="D282" s="104"/>
      <c r="E282" s="61"/>
      <c r="G282" s="60"/>
      <c r="H282" s="62"/>
      <c r="I282" s="63"/>
      <c r="J282" s="62"/>
      <c r="X282" s="91"/>
      <c r="Y282" s="91"/>
      <c r="Z282" s="91"/>
      <c r="AA282" s="91"/>
      <c r="AB282" s="91"/>
      <c r="AC282" s="37"/>
    </row>
    <row r="283" spans="1:29">
      <c r="A283" s="102"/>
      <c r="B283" s="103"/>
      <c r="C283" s="103"/>
      <c r="D283" s="104"/>
      <c r="E283" s="61"/>
      <c r="G283" s="60"/>
      <c r="H283" s="62"/>
      <c r="I283" s="63"/>
      <c r="J283" s="62"/>
      <c r="X283" s="91"/>
      <c r="Y283" s="91"/>
      <c r="Z283" s="91"/>
      <c r="AA283" s="91"/>
      <c r="AB283" s="91"/>
      <c r="AC283" s="37"/>
    </row>
    <row r="284" spans="1:29">
      <c r="A284" s="102"/>
      <c r="B284" s="103"/>
      <c r="C284" s="103"/>
      <c r="D284" s="104"/>
      <c r="E284" s="61"/>
      <c r="G284" s="60"/>
      <c r="H284" s="62"/>
      <c r="I284" s="63"/>
      <c r="J284" s="62"/>
      <c r="X284" s="91"/>
      <c r="Y284" s="91"/>
      <c r="Z284" s="91"/>
      <c r="AA284" s="91"/>
      <c r="AB284" s="91"/>
      <c r="AC284" s="37"/>
    </row>
    <row r="285" spans="1:29">
      <c r="A285" s="102"/>
      <c r="B285" s="103"/>
      <c r="C285" s="103"/>
      <c r="D285" s="104"/>
      <c r="E285" s="61"/>
      <c r="G285" s="60"/>
      <c r="H285" s="62"/>
      <c r="I285" s="63"/>
      <c r="J285" s="62"/>
      <c r="X285" s="91"/>
      <c r="Y285" s="91"/>
      <c r="Z285" s="91"/>
      <c r="AA285" s="91"/>
      <c r="AB285" s="91"/>
      <c r="AC285" s="37"/>
    </row>
    <row r="286" spans="1:29">
      <c r="A286" s="102"/>
      <c r="B286" s="103"/>
      <c r="C286" s="103"/>
      <c r="D286" s="104"/>
      <c r="E286" s="61"/>
      <c r="G286" s="60"/>
      <c r="H286" s="62"/>
      <c r="I286" s="63"/>
      <c r="J286" s="62"/>
      <c r="X286" s="91"/>
      <c r="Y286" s="91"/>
      <c r="Z286" s="91"/>
      <c r="AA286" s="91"/>
      <c r="AB286" s="91"/>
      <c r="AC286" s="37"/>
    </row>
    <row r="287" spans="1:29">
      <c r="A287" s="102"/>
      <c r="B287" s="103"/>
      <c r="C287" s="103"/>
      <c r="D287" s="104"/>
      <c r="E287" s="61"/>
      <c r="G287" s="60"/>
      <c r="H287" s="62"/>
      <c r="I287" s="63"/>
      <c r="J287" s="62"/>
      <c r="X287" s="91"/>
      <c r="Y287" s="91"/>
      <c r="Z287" s="91"/>
      <c r="AA287" s="91"/>
      <c r="AB287" s="91"/>
      <c r="AC287" s="37"/>
    </row>
    <row r="288" spans="1:29">
      <c r="A288" s="102"/>
      <c r="B288" s="103"/>
      <c r="C288" s="103"/>
      <c r="D288" s="104"/>
      <c r="E288" s="61"/>
      <c r="G288" s="60"/>
      <c r="H288" s="62"/>
      <c r="I288" s="63"/>
      <c r="J288" s="62"/>
      <c r="X288" s="91"/>
      <c r="Y288" s="91"/>
      <c r="Z288" s="91"/>
      <c r="AA288" s="91"/>
      <c r="AB288" s="91"/>
      <c r="AC288" s="37"/>
    </row>
    <row r="289" spans="1:29">
      <c r="A289" s="102"/>
      <c r="B289" s="103"/>
      <c r="C289" s="103"/>
      <c r="D289" s="104"/>
      <c r="E289" s="61"/>
      <c r="G289" s="60"/>
      <c r="H289" s="62"/>
      <c r="I289" s="63"/>
      <c r="J289" s="62"/>
      <c r="X289" s="91"/>
      <c r="Y289" s="91"/>
      <c r="Z289" s="91"/>
      <c r="AA289" s="91"/>
      <c r="AB289" s="91"/>
      <c r="AC289" s="37"/>
    </row>
    <row r="290" spans="1:29">
      <c r="A290" s="102"/>
      <c r="B290" s="103"/>
      <c r="C290" s="103"/>
      <c r="D290" s="104"/>
      <c r="E290" s="61"/>
      <c r="G290" s="60"/>
      <c r="H290" s="62"/>
      <c r="I290" s="63"/>
      <c r="J290" s="62"/>
      <c r="X290" s="91"/>
      <c r="Y290" s="91"/>
      <c r="Z290" s="91"/>
      <c r="AA290" s="91"/>
      <c r="AB290" s="91"/>
      <c r="AC290" s="37"/>
    </row>
    <row r="291" spans="1:29">
      <c r="A291" s="102"/>
      <c r="B291" s="103"/>
      <c r="C291" s="103"/>
      <c r="D291" s="104"/>
      <c r="E291" s="61"/>
      <c r="G291" s="60"/>
      <c r="H291" s="62"/>
      <c r="I291" s="63"/>
      <c r="J291" s="62"/>
      <c r="X291" s="91"/>
      <c r="Y291" s="91"/>
      <c r="Z291" s="91"/>
      <c r="AA291" s="91"/>
      <c r="AB291" s="91"/>
      <c r="AC291" s="37"/>
    </row>
    <row r="292" spans="1:29">
      <c r="A292" s="102"/>
      <c r="B292" s="103"/>
      <c r="C292" s="103"/>
      <c r="D292" s="104"/>
      <c r="E292" s="61"/>
      <c r="G292" s="60"/>
      <c r="H292" s="62"/>
      <c r="I292" s="63"/>
      <c r="J292" s="62"/>
      <c r="X292" s="91"/>
      <c r="Y292" s="91"/>
      <c r="Z292" s="91"/>
      <c r="AA292" s="91"/>
      <c r="AB292" s="91"/>
      <c r="AC292" s="37"/>
    </row>
    <row r="293" spans="1:29">
      <c r="A293" s="102"/>
      <c r="B293" s="103"/>
      <c r="C293" s="103"/>
      <c r="D293" s="104"/>
      <c r="E293" s="61"/>
      <c r="G293" s="60"/>
      <c r="H293" s="62"/>
      <c r="I293" s="63"/>
      <c r="J293" s="62"/>
      <c r="X293" s="91"/>
      <c r="Y293" s="91"/>
      <c r="Z293" s="91"/>
      <c r="AA293" s="91"/>
      <c r="AB293" s="91"/>
      <c r="AC293" s="37"/>
    </row>
    <row r="294" spans="1:29">
      <c r="A294" s="102"/>
      <c r="B294" s="103"/>
      <c r="C294" s="103"/>
      <c r="D294" s="104"/>
      <c r="E294" s="61"/>
      <c r="G294" s="60"/>
      <c r="H294" s="62"/>
      <c r="I294" s="63"/>
      <c r="J294" s="62"/>
      <c r="X294" s="91"/>
      <c r="Y294" s="91"/>
      <c r="Z294" s="91"/>
      <c r="AA294" s="91"/>
      <c r="AB294" s="91"/>
      <c r="AC294" s="37"/>
    </row>
    <row r="295" spans="1:29">
      <c r="A295" s="102"/>
      <c r="B295" s="103"/>
      <c r="C295" s="103"/>
      <c r="D295" s="104"/>
      <c r="E295" s="61"/>
      <c r="G295" s="60"/>
      <c r="H295" s="62"/>
      <c r="I295" s="63"/>
      <c r="J295" s="62"/>
      <c r="X295" s="91"/>
      <c r="Y295" s="91"/>
      <c r="Z295" s="91"/>
      <c r="AA295" s="91"/>
      <c r="AB295" s="91"/>
      <c r="AC295" s="37"/>
    </row>
    <row r="296" spans="1:29">
      <c r="A296" s="102"/>
      <c r="B296" s="103"/>
      <c r="C296" s="103"/>
      <c r="D296" s="104"/>
      <c r="E296" s="61"/>
      <c r="G296" s="60"/>
      <c r="H296" s="62"/>
      <c r="I296" s="63"/>
      <c r="J296" s="62"/>
      <c r="X296" s="91"/>
      <c r="Y296" s="91"/>
      <c r="Z296" s="91"/>
      <c r="AA296" s="91"/>
      <c r="AB296" s="91"/>
      <c r="AC296" s="37"/>
    </row>
    <row r="297" spans="1:29">
      <c r="A297" s="102"/>
      <c r="B297" s="103"/>
      <c r="C297" s="103"/>
      <c r="D297" s="104"/>
      <c r="E297" s="61"/>
      <c r="G297" s="60"/>
      <c r="H297" s="62"/>
      <c r="I297" s="63"/>
      <c r="J297" s="62"/>
      <c r="X297" s="91"/>
      <c r="Y297" s="91"/>
      <c r="Z297" s="91"/>
      <c r="AA297" s="91"/>
      <c r="AB297" s="91"/>
      <c r="AC297" s="37"/>
    </row>
    <row r="298" spans="1:29">
      <c r="A298" s="102"/>
      <c r="B298" s="103"/>
      <c r="C298" s="103"/>
      <c r="D298" s="104"/>
      <c r="E298" s="61"/>
      <c r="G298" s="60"/>
      <c r="H298" s="62"/>
      <c r="I298" s="63"/>
      <c r="J298" s="62"/>
      <c r="X298" s="91"/>
      <c r="Y298" s="91"/>
      <c r="Z298" s="91"/>
      <c r="AA298" s="91"/>
      <c r="AB298" s="91"/>
      <c r="AC298" s="37"/>
    </row>
    <row r="299" spans="1:29">
      <c r="A299" s="102"/>
      <c r="B299" s="103"/>
      <c r="C299" s="103"/>
      <c r="D299" s="104"/>
      <c r="E299" s="61"/>
      <c r="G299" s="60"/>
      <c r="H299" s="62"/>
      <c r="I299" s="63"/>
      <c r="J299" s="62"/>
      <c r="X299" s="91"/>
      <c r="Y299" s="91"/>
      <c r="Z299" s="91"/>
      <c r="AA299" s="91"/>
      <c r="AB299" s="91"/>
      <c r="AC299" s="37"/>
    </row>
    <row r="300" spans="1:29">
      <c r="A300" s="102"/>
      <c r="B300" s="103"/>
      <c r="C300" s="103"/>
      <c r="D300" s="104"/>
      <c r="E300" s="61"/>
      <c r="G300" s="60"/>
      <c r="H300" s="62"/>
      <c r="I300" s="63"/>
      <c r="J300" s="62"/>
      <c r="X300" s="91"/>
      <c r="Y300" s="91"/>
      <c r="Z300" s="91"/>
      <c r="AA300" s="91"/>
      <c r="AB300" s="91"/>
      <c r="AC300" s="37"/>
    </row>
    <row r="301" spans="1:29">
      <c r="A301" s="102"/>
      <c r="B301" s="103"/>
      <c r="C301" s="103"/>
      <c r="D301" s="104"/>
      <c r="E301" s="61"/>
      <c r="G301" s="60"/>
      <c r="H301" s="62"/>
      <c r="I301" s="63"/>
      <c r="J301" s="62"/>
      <c r="X301" s="91"/>
      <c r="Y301" s="91"/>
      <c r="Z301" s="91"/>
      <c r="AA301" s="91"/>
      <c r="AB301" s="91"/>
      <c r="AC301" s="37"/>
    </row>
    <row r="302" spans="1:29">
      <c r="A302" s="102"/>
      <c r="B302" s="103"/>
      <c r="C302" s="103"/>
      <c r="D302" s="104"/>
      <c r="E302" s="61"/>
      <c r="G302" s="60"/>
      <c r="H302" s="62"/>
      <c r="I302" s="63"/>
      <c r="J302" s="62"/>
      <c r="X302" s="91"/>
      <c r="Y302" s="91"/>
      <c r="Z302" s="91"/>
      <c r="AA302" s="91"/>
      <c r="AB302" s="91"/>
      <c r="AC302" s="37"/>
    </row>
    <row r="303" spans="1:29">
      <c r="A303" s="102"/>
      <c r="B303" s="103"/>
      <c r="C303" s="103"/>
      <c r="D303" s="104"/>
      <c r="E303" s="61"/>
      <c r="G303" s="60"/>
      <c r="H303" s="62"/>
      <c r="I303" s="63"/>
      <c r="J303" s="62"/>
      <c r="X303" s="91"/>
      <c r="Y303" s="91"/>
      <c r="Z303" s="91"/>
      <c r="AA303" s="91"/>
      <c r="AB303" s="91"/>
      <c r="AC303" s="37"/>
    </row>
    <row r="304" spans="1:29">
      <c r="A304" s="102"/>
      <c r="B304" s="103"/>
      <c r="C304" s="103"/>
      <c r="D304" s="104"/>
      <c r="E304" s="61"/>
      <c r="G304" s="60"/>
      <c r="H304" s="62"/>
      <c r="I304" s="63"/>
      <c r="J304" s="62"/>
      <c r="X304" s="91"/>
      <c r="Y304" s="91"/>
      <c r="Z304" s="91"/>
      <c r="AA304" s="91"/>
      <c r="AB304" s="91"/>
      <c r="AC304" s="37"/>
    </row>
    <row r="305" spans="1:29">
      <c r="A305" s="102"/>
      <c r="B305" s="103"/>
      <c r="C305" s="103"/>
      <c r="D305" s="104"/>
      <c r="E305" s="61"/>
      <c r="G305" s="60"/>
      <c r="H305" s="62"/>
      <c r="I305" s="63"/>
      <c r="J305" s="62"/>
      <c r="X305" s="91"/>
      <c r="Y305" s="91"/>
      <c r="Z305" s="91"/>
      <c r="AA305" s="91"/>
      <c r="AB305" s="91"/>
      <c r="AC305" s="37"/>
    </row>
    <row r="306" spans="1:29">
      <c r="A306" s="102"/>
      <c r="B306" s="103"/>
      <c r="C306" s="103"/>
      <c r="D306" s="104"/>
      <c r="E306" s="61"/>
      <c r="G306" s="60"/>
      <c r="H306" s="62"/>
      <c r="I306" s="63"/>
      <c r="J306" s="62"/>
      <c r="X306" s="91"/>
      <c r="Y306" s="91"/>
      <c r="Z306" s="91"/>
      <c r="AA306" s="91"/>
      <c r="AB306" s="91"/>
      <c r="AC306" s="37"/>
    </row>
    <row r="307" spans="1:29">
      <c r="A307" s="102"/>
      <c r="B307" s="103"/>
      <c r="C307" s="103"/>
      <c r="D307" s="104"/>
      <c r="E307" s="61"/>
      <c r="G307" s="60"/>
      <c r="H307" s="62"/>
      <c r="I307" s="63"/>
      <c r="J307" s="62"/>
      <c r="X307" s="91"/>
      <c r="Y307" s="91"/>
      <c r="Z307" s="91"/>
      <c r="AA307" s="91"/>
      <c r="AB307" s="91"/>
      <c r="AC307" s="37"/>
    </row>
    <row r="308" spans="1:29">
      <c r="A308" s="102"/>
      <c r="B308" s="103"/>
      <c r="C308" s="103"/>
      <c r="D308" s="104"/>
      <c r="E308" s="61"/>
      <c r="G308" s="60"/>
      <c r="H308" s="62"/>
      <c r="I308" s="63"/>
      <c r="J308" s="62"/>
      <c r="X308" s="91"/>
      <c r="Y308" s="91"/>
      <c r="Z308" s="91"/>
      <c r="AA308" s="91"/>
      <c r="AB308" s="91"/>
      <c r="AC308" s="37"/>
    </row>
    <row r="309" spans="1:29">
      <c r="A309" s="102"/>
      <c r="B309" s="103"/>
      <c r="C309" s="103"/>
      <c r="D309" s="104"/>
      <c r="E309" s="61"/>
      <c r="G309" s="60"/>
      <c r="H309" s="62"/>
      <c r="I309" s="63"/>
      <c r="J309" s="62"/>
      <c r="X309" s="91"/>
      <c r="Y309" s="91"/>
      <c r="Z309" s="91"/>
      <c r="AA309" s="91"/>
      <c r="AB309" s="91"/>
      <c r="AC309" s="37"/>
    </row>
    <row r="310" spans="1:29">
      <c r="A310" s="102"/>
      <c r="B310" s="103"/>
      <c r="C310" s="103"/>
      <c r="D310" s="104"/>
      <c r="E310" s="61"/>
      <c r="G310" s="60"/>
      <c r="H310" s="62"/>
      <c r="I310" s="63"/>
      <c r="J310" s="62"/>
      <c r="X310" s="91"/>
      <c r="Y310" s="91"/>
      <c r="Z310" s="91"/>
      <c r="AA310" s="91"/>
      <c r="AB310" s="91"/>
      <c r="AC310" s="37"/>
    </row>
    <row r="311" spans="1:29">
      <c r="A311" s="102"/>
      <c r="B311" s="103"/>
      <c r="C311" s="103"/>
      <c r="D311" s="104"/>
      <c r="E311" s="61"/>
      <c r="G311" s="60"/>
      <c r="H311" s="62"/>
      <c r="I311" s="63"/>
      <c r="J311" s="62"/>
      <c r="X311" s="91"/>
      <c r="Y311" s="91"/>
      <c r="Z311" s="91"/>
      <c r="AA311" s="91"/>
      <c r="AB311" s="91"/>
      <c r="AC311" s="37"/>
    </row>
    <row r="312" spans="1:29">
      <c r="A312" s="102"/>
      <c r="B312" s="103"/>
      <c r="C312" s="103"/>
      <c r="D312" s="104"/>
      <c r="E312" s="61"/>
      <c r="G312" s="60"/>
      <c r="H312" s="62"/>
      <c r="I312" s="63"/>
      <c r="J312" s="62"/>
      <c r="X312" s="91"/>
      <c r="Y312" s="91"/>
      <c r="Z312" s="91"/>
      <c r="AA312" s="91"/>
      <c r="AB312" s="91"/>
      <c r="AC312" s="37"/>
    </row>
    <row r="313" spans="1:29">
      <c r="A313" s="102"/>
      <c r="B313" s="103"/>
      <c r="C313" s="103"/>
      <c r="D313" s="104"/>
      <c r="E313" s="61"/>
      <c r="G313" s="60"/>
      <c r="H313" s="62"/>
      <c r="I313" s="63"/>
      <c r="J313" s="62"/>
      <c r="X313" s="91"/>
      <c r="Y313" s="91"/>
      <c r="Z313" s="91"/>
      <c r="AA313" s="91"/>
      <c r="AB313" s="91"/>
      <c r="AC313" s="37"/>
    </row>
    <row r="314" spans="1:29">
      <c r="A314" s="102"/>
      <c r="B314" s="103"/>
      <c r="C314" s="103"/>
      <c r="D314" s="104"/>
      <c r="E314" s="61"/>
      <c r="G314" s="60"/>
      <c r="H314" s="62"/>
      <c r="I314" s="63"/>
      <c r="J314" s="62"/>
      <c r="X314" s="91"/>
      <c r="Y314" s="91"/>
      <c r="Z314" s="91"/>
      <c r="AA314" s="91"/>
      <c r="AB314" s="91"/>
      <c r="AC314" s="37"/>
    </row>
    <row r="315" spans="1:29">
      <c r="A315" s="102"/>
      <c r="B315" s="103"/>
      <c r="C315" s="103"/>
      <c r="D315" s="104"/>
      <c r="E315" s="61"/>
      <c r="G315" s="60"/>
      <c r="H315" s="62"/>
      <c r="I315" s="63"/>
      <c r="J315" s="62"/>
      <c r="X315" s="91"/>
      <c r="Y315" s="91"/>
      <c r="Z315" s="91"/>
      <c r="AA315" s="91"/>
      <c r="AB315" s="91"/>
      <c r="AC315" s="37"/>
    </row>
    <row r="316" spans="1:29">
      <c r="A316" s="102"/>
      <c r="B316" s="103"/>
      <c r="C316" s="103"/>
      <c r="D316" s="104"/>
      <c r="E316" s="61"/>
      <c r="G316" s="60"/>
      <c r="H316" s="62"/>
      <c r="I316" s="63"/>
      <c r="J316" s="62"/>
      <c r="X316" s="91"/>
      <c r="Y316" s="91"/>
      <c r="Z316" s="91"/>
      <c r="AA316" s="91"/>
      <c r="AB316" s="91"/>
      <c r="AC316" s="37"/>
    </row>
    <row r="317" spans="1:29">
      <c r="A317" s="102"/>
      <c r="B317" s="103"/>
      <c r="C317" s="103"/>
      <c r="D317" s="104"/>
      <c r="E317" s="61"/>
      <c r="G317" s="60"/>
      <c r="H317" s="62"/>
      <c r="I317" s="63"/>
      <c r="J317" s="62"/>
      <c r="X317" s="91"/>
      <c r="Y317" s="91"/>
      <c r="Z317" s="91"/>
      <c r="AA317" s="91"/>
      <c r="AB317" s="91"/>
      <c r="AC317" s="37"/>
    </row>
    <row r="318" spans="1:29">
      <c r="A318" s="102"/>
      <c r="B318" s="103"/>
      <c r="C318" s="103"/>
      <c r="D318" s="104"/>
      <c r="E318" s="61"/>
      <c r="G318" s="60"/>
      <c r="H318" s="62"/>
      <c r="I318" s="63"/>
      <c r="J318" s="62"/>
      <c r="X318" s="91"/>
      <c r="Y318" s="91"/>
      <c r="Z318" s="91"/>
      <c r="AA318" s="91"/>
      <c r="AB318" s="91"/>
      <c r="AC318" s="37"/>
    </row>
    <row r="319" spans="1:29">
      <c r="A319" s="102"/>
      <c r="B319" s="103"/>
      <c r="C319" s="103"/>
      <c r="D319" s="104"/>
      <c r="E319" s="61"/>
      <c r="G319" s="60"/>
      <c r="H319" s="62"/>
      <c r="I319" s="63"/>
      <c r="J319" s="62"/>
      <c r="X319" s="91"/>
      <c r="Y319" s="91"/>
      <c r="Z319" s="91"/>
      <c r="AA319" s="91"/>
      <c r="AB319" s="91"/>
      <c r="AC319" s="37"/>
    </row>
    <row r="320" spans="1:29">
      <c r="A320" s="102"/>
      <c r="B320" s="103"/>
      <c r="C320" s="103"/>
      <c r="D320" s="104"/>
      <c r="E320" s="61"/>
      <c r="G320" s="60"/>
      <c r="H320" s="62"/>
      <c r="I320" s="63"/>
      <c r="J320" s="62"/>
      <c r="X320" s="91"/>
      <c r="Y320" s="91"/>
      <c r="Z320" s="91"/>
      <c r="AA320" s="91"/>
      <c r="AB320" s="91"/>
      <c r="AC320" s="37"/>
    </row>
    <row r="321" spans="1:29">
      <c r="A321" s="102"/>
      <c r="B321" s="103"/>
      <c r="C321" s="103"/>
      <c r="D321" s="104"/>
      <c r="E321" s="61"/>
      <c r="G321" s="60"/>
      <c r="H321" s="62"/>
      <c r="I321" s="63"/>
      <c r="J321" s="62"/>
      <c r="X321" s="91"/>
      <c r="Y321" s="91"/>
      <c r="Z321" s="91"/>
      <c r="AA321" s="91"/>
      <c r="AB321" s="91"/>
      <c r="AC321" s="37"/>
    </row>
    <row r="322" spans="1:29">
      <c r="A322" s="102"/>
      <c r="B322" s="103"/>
      <c r="C322" s="103"/>
      <c r="D322" s="104"/>
      <c r="E322" s="61"/>
      <c r="G322" s="60"/>
      <c r="H322" s="62"/>
      <c r="I322" s="63"/>
      <c r="J322" s="62"/>
      <c r="X322" s="91"/>
      <c r="Y322" s="91"/>
      <c r="Z322" s="91"/>
      <c r="AA322" s="91"/>
      <c r="AB322" s="91"/>
      <c r="AC322" s="37"/>
    </row>
    <row r="323" spans="1:29">
      <c r="A323" s="102"/>
      <c r="B323" s="103"/>
      <c r="C323" s="103"/>
      <c r="D323" s="104"/>
      <c r="E323" s="61"/>
      <c r="G323" s="60"/>
      <c r="H323" s="62"/>
      <c r="I323" s="63"/>
      <c r="J323" s="62"/>
      <c r="X323" s="91"/>
      <c r="Y323" s="91"/>
      <c r="Z323" s="91"/>
      <c r="AA323" s="91"/>
      <c r="AB323" s="91"/>
      <c r="AC323" s="37"/>
    </row>
    <row r="324" spans="1:29">
      <c r="A324" s="102"/>
      <c r="B324" s="103"/>
      <c r="C324" s="103"/>
      <c r="D324" s="104"/>
      <c r="E324" s="61"/>
      <c r="G324" s="60"/>
      <c r="H324" s="62"/>
      <c r="I324" s="63"/>
      <c r="J324" s="62"/>
      <c r="X324" s="91"/>
      <c r="Y324" s="91"/>
      <c r="Z324" s="91"/>
      <c r="AA324" s="91"/>
      <c r="AB324" s="91"/>
      <c r="AC324" s="37"/>
    </row>
    <row r="325" spans="1:29">
      <c r="A325" s="102"/>
      <c r="B325" s="103"/>
      <c r="C325" s="103"/>
      <c r="D325" s="104"/>
      <c r="E325" s="61"/>
      <c r="G325" s="60"/>
      <c r="H325" s="62"/>
      <c r="I325" s="63"/>
      <c r="J325" s="62"/>
      <c r="X325" s="91"/>
      <c r="Y325" s="91"/>
      <c r="Z325" s="91"/>
      <c r="AA325" s="91"/>
      <c r="AB325" s="91"/>
      <c r="AC325" s="37"/>
    </row>
    <row r="326" spans="1:29">
      <c r="A326" s="102"/>
      <c r="B326" s="103"/>
      <c r="C326" s="103"/>
      <c r="D326" s="104"/>
      <c r="E326" s="61"/>
      <c r="G326" s="60"/>
      <c r="H326" s="62"/>
      <c r="I326" s="63"/>
      <c r="J326" s="62"/>
      <c r="X326" s="91"/>
      <c r="Y326" s="91"/>
      <c r="Z326" s="91"/>
      <c r="AA326" s="91"/>
      <c r="AB326" s="91"/>
      <c r="AC326" s="37"/>
    </row>
    <row r="327" spans="1:29">
      <c r="A327" s="102"/>
      <c r="B327" s="103"/>
      <c r="C327" s="103"/>
      <c r="D327" s="104"/>
      <c r="E327" s="61"/>
      <c r="G327" s="60"/>
      <c r="H327" s="62"/>
      <c r="I327" s="63"/>
      <c r="J327" s="62"/>
      <c r="X327" s="91"/>
      <c r="Y327" s="91"/>
      <c r="Z327" s="91"/>
      <c r="AA327" s="91"/>
      <c r="AB327" s="91"/>
      <c r="AC327" s="37"/>
    </row>
    <row r="328" spans="1:29">
      <c r="A328" s="102"/>
      <c r="B328" s="103"/>
      <c r="C328" s="103"/>
      <c r="D328" s="104"/>
      <c r="E328" s="61"/>
      <c r="G328" s="60"/>
      <c r="H328" s="62"/>
      <c r="I328" s="63"/>
      <c r="J328" s="62"/>
      <c r="X328" s="91"/>
      <c r="Y328" s="91"/>
      <c r="Z328" s="91"/>
      <c r="AA328" s="91"/>
      <c r="AB328" s="91"/>
      <c r="AC328" s="37"/>
    </row>
    <row r="329" spans="1:29">
      <c r="A329" s="102"/>
      <c r="B329" s="103"/>
      <c r="C329" s="103"/>
      <c r="D329" s="104"/>
      <c r="E329" s="61"/>
      <c r="G329" s="60"/>
      <c r="H329" s="62"/>
      <c r="I329" s="63"/>
      <c r="J329" s="62"/>
      <c r="X329" s="91"/>
      <c r="Y329" s="91"/>
      <c r="Z329" s="91"/>
      <c r="AA329" s="91"/>
      <c r="AB329" s="91"/>
      <c r="AC329" s="37"/>
    </row>
    <row r="330" spans="1:29">
      <c r="A330" s="102"/>
      <c r="B330" s="103"/>
      <c r="C330" s="103"/>
      <c r="D330" s="104"/>
      <c r="E330" s="61"/>
      <c r="G330" s="60"/>
      <c r="H330" s="62"/>
      <c r="I330" s="63"/>
      <c r="J330" s="62"/>
      <c r="X330" s="91"/>
      <c r="Y330" s="91"/>
      <c r="Z330" s="91"/>
      <c r="AA330" s="91"/>
      <c r="AB330" s="91"/>
      <c r="AC330" s="37"/>
    </row>
    <row r="331" spans="1:29">
      <c r="A331" s="102"/>
      <c r="B331" s="103"/>
      <c r="C331" s="103"/>
      <c r="D331" s="104"/>
      <c r="E331" s="61"/>
      <c r="G331" s="60"/>
      <c r="H331" s="62"/>
      <c r="I331" s="63"/>
      <c r="J331" s="62"/>
      <c r="X331" s="91"/>
      <c r="Y331" s="91"/>
      <c r="Z331" s="91"/>
      <c r="AA331" s="91"/>
      <c r="AB331" s="91"/>
      <c r="AC331" s="37"/>
    </row>
    <row r="332" spans="1:29">
      <c r="A332" s="102"/>
      <c r="B332" s="103"/>
      <c r="C332" s="103"/>
      <c r="D332" s="104"/>
      <c r="E332" s="61"/>
      <c r="G332" s="60"/>
      <c r="H332" s="62"/>
      <c r="I332" s="63"/>
      <c r="J332" s="62"/>
      <c r="X332" s="91"/>
      <c r="Y332" s="91"/>
      <c r="Z332" s="91"/>
      <c r="AA332" s="91"/>
      <c r="AB332" s="91"/>
      <c r="AC332" s="37"/>
    </row>
    <row r="333" spans="1:29">
      <c r="A333" s="102"/>
      <c r="B333" s="103"/>
      <c r="C333" s="103"/>
      <c r="D333" s="104"/>
      <c r="E333" s="61"/>
      <c r="G333" s="60"/>
      <c r="H333" s="62"/>
      <c r="I333" s="63"/>
      <c r="J333" s="62"/>
      <c r="X333" s="91"/>
      <c r="Y333" s="91"/>
      <c r="Z333" s="91"/>
      <c r="AA333" s="91"/>
      <c r="AB333" s="91"/>
      <c r="AC333" s="37"/>
    </row>
    <row r="334" spans="1:29">
      <c r="A334" s="102"/>
      <c r="B334" s="103"/>
      <c r="C334" s="103"/>
      <c r="D334" s="104"/>
      <c r="E334" s="61"/>
      <c r="G334" s="60"/>
      <c r="H334" s="62"/>
      <c r="I334" s="63"/>
      <c r="J334" s="62"/>
      <c r="X334" s="91"/>
      <c r="Y334" s="91"/>
      <c r="Z334" s="91"/>
      <c r="AA334" s="91"/>
      <c r="AB334" s="91"/>
      <c r="AC334" s="37"/>
    </row>
    <row r="335" spans="1:29">
      <c r="A335" s="102"/>
      <c r="B335" s="103"/>
      <c r="C335" s="103"/>
      <c r="D335" s="104"/>
      <c r="E335" s="61"/>
      <c r="G335" s="60"/>
      <c r="H335" s="62"/>
      <c r="I335" s="63"/>
      <c r="J335" s="62"/>
      <c r="X335" s="91"/>
      <c r="Y335" s="91"/>
      <c r="Z335" s="91"/>
      <c r="AA335" s="91"/>
      <c r="AB335" s="91"/>
      <c r="AC335" s="37"/>
    </row>
    <row r="336" spans="1:29">
      <c r="A336" s="102"/>
      <c r="B336" s="103"/>
      <c r="C336" s="103"/>
      <c r="D336" s="104"/>
      <c r="E336" s="61"/>
      <c r="G336" s="60"/>
      <c r="H336" s="62"/>
      <c r="I336" s="63"/>
      <c r="J336" s="62"/>
      <c r="X336" s="91"/>
      <c r="Y336" s="91"/>
      <c r="Z336" s="91"/>
      <c r="AA336" s="91"/>
      <c r="AB336" s="91"/>
      <c r="AC336" s="37"/>
    </row>
    <row r="337" spans="1:29">
      <c r="A337" s="102"/>
      <c r="B337" s="103"/>
      <c r="C337" s="103"/>
      <c r="D337" s="104"/>
      <c r="E337" s="61"/>
      <c r="G337" s="60"/>
      <c r="H337" s="62"/>
      <c r="I337" s="63"/>
      <c r="J337" s="62"/>
      <c r="X337" s="91"/>
      <c r="Y337" s="91"/>
      <c r="Z337" s="91"/>
      <c r="AA337" s="91"/>
      <c r="AB337" s="91"/>
      <c r="AC337" s="37"/>
    </row>
    <row r="338" spans="1:29">
      <c r="A338" s="102"/>
      <c r="B338" s="103"/>
      <c r="C338" s="103"/>
      <c r="D338" s="104"/>
      <c r="E338" s="61"/>
      <c r="G338" s="60"/>
      <c r="H338" s="62"/>
      <c r="I338" s="63"/>
      <c r="J338" s="62"/>
      <c r="X338" s="91"/>
      <c r="Y338" s="91"/>
      <c r="Z338" s="91"/>
      <c r="AA338" s="91"/>
      <c r="AB338" s="91"/>
      <c r="AC338" s="37"/>
    </row>
    <row r="339" spans="1:29">
      <c r="A339" s="102"/>
      <c r="B339" s="103"/>
      <c r="C339" s="103"/>
      <c r="D339" s="104"/>
      <c r="E339" s="61"/>
      <c r="G339" s="60"/>
      <c r="H339" s="62"/>
      <c r="I339" s="63"/>
      <c r="J339" s="62"/>
      <c r="X339" s="91"/>
      <c r="Y339" s="91"/>
      <c r="Z339" s="91"/>
      <c r="AA339" s="91"/>
      <c r="AB339" s="91"/>
      <c r="AC339" s="37"/>
    </row>
    <row r="340" spans="1:29">
      <c r="A340" s="102"/>
      <c r="B340" s="103"/>
      <c r="C340" s="103"/>
      <c r="D340" s="104"/>
      <c r="E340" s="61"/>
      <c r="G340" s="60"/>
      <c r="H340" s="62"/>
      <c r="I340" s="63"/>
      <c r="J340" s="62"/>
      <c r="X340" s="91"/>
      <c r="Y340" s="91"/>
      <c r="Z340" s="91"/>
      <c r="AA340" s="91"/>
      <c r="AB340" s="91"/>
      <c r="AC340" s="37"/>
    </row>
    <row r="341" spans="1:29">
      <c r="A341" s="102"/>
      <c r="B341" s="103"/>
      <c r="C341" s="103"/>
      <c r="D341" s="104"/>
      <c r="E341" s="61"/>
      <c r="G341" s="60"/>
      <c r="H341" s="62"/>
      <c r="I341" s="63"/>
      <c r="J341" s="62"/>
      <c r="X341" s="91"/>
      <c r="Y341" s="91"/>
      <c r="Z341" s="91"/>
      <c r="AA341" s="91"/>
      <c r="AB341" s="91"/>
      <c r="AC341" s="37"/>
    </row>
    <row r="342" spans="1:29">
      <c r="A342" s="102"/>
      <c r="B342" s="103"/>
      <c r="C342" s="103"/>
      <c r="D342" s="104"/>
      <c r="E342" s="61"/>
      <c r="G342" s="60"/>
      <c r="H342" s="62"/>
      <c r="I342" s="63"/>
      <c r="J342" s="62"/>
      <c r="X342" s="91"/>
      <c r="Y342" s="91"/>
      <c r="Z342" s="91"/>
      <c r="AA342" s="91"/>
      <c r="AB342" s="91"/>
      <c r="AC342" s="37"/>
    </row>
    <row r="343" spans="1:29">
      <c r="A343" s="102"/>
      <c r="B343" s="103"/>
      <c r="C343" s="103"/>
      <c r="D343" s="104"/>
      <c r="E343" s="61"/>
      <c r="G343" s="60"/>
      <c r="H343" s="62"/>
      <c r="I343" s="63"/>
      <c r="J343" s="62"/>
      <c r="X343" s="91"/>
      <c r="Y343" s="91"/>
      <c r="Z343" s="91"/>
      <c r="AA343" s="91"/>
      <c r="AB343" s="91"/>
      <c r="AC343" s="37"/>
    </row>
    <row r="344" spans="1:29">
      <c r="A344" s="102"/>
      <c r="B344" s="103"/>
      <c r="C344" s="103"/>
      <c r="D344" s="104"/>
      <c r="E344" s="61"/>
      <c r="G344" s="60"/>
      <c r="H344" s="62"/>
      <c r="I344" s="63"/>
      <c r="J344" s="62"/>
      <c r="X344" s="91"/>
      <c r="Y344" s="91"/>
      <c r="Z344" s="91"/>
      <c r="AA344" s="91"/>
      <c r="AB344" s="91"/>
      <c r="AC344" s="37"/>
    </row>
    <row r="345" spans="1:29">
      <c r="A345" s="102"/>
      <c r="B345" s="103"/>
      <c r="C345" s="103"/>
      <c r="D345" s="104"/>
      <c r="E345" s="61"/>
      <c r="G345" s="60"/>
      <c r="H345" s="62"/>
      <c r="I345" s="63"/>
      <c r="J345" s="62"/>
      <c r="X345" s="91"/>
      <c r="Y345" s="91"/>
      <c r="Z345" s="91"/>
      <c r="AA345" s="91"/>
      <c r="AB345" s="91"/>
      <c r="AC345" s="37"/>
    </row>
    <row r="346" spans="1:29">
      <c r="A346" s="102"/>
      <c r="B346" s="103"/>
      <c r="C346" s="103"/>
      <c r="D346" s="104"/>
      <c r="E346" s="61"/>
      <c r="G346" s="60"/>
      <c r="H346" s="62"/>
      <c r="I346" s="63"/>
      <c r="J346" s="62"/>
      <c r="X346" s="91"/>
      <c r="Y346" s="91"/>
      <c r="Z346" s="91"/>
      <c r="AA346" s="91"/>
      <c r="AB346" s="91"/>
      <c r="AC346" s="37"/>
    </row>
    <row r="347" spans="1:29">
      <c r="A347" s="102"/>
      <c r="B347" s="103"/>
      <c r="C347" s="103"/>
      <c r="D347" s="104"/>
      <c r="E347" s="61"/>
      <c r="G347" s="60"/>
      <c r="H347" s="62"/>
      <c r="I347" s="63"/>
      <c r="J347" s="62"/>
      <c r="X347" s="91"/>
      <c r="Y347" s="91"/>
      <c r="Z347" s="91"/>
      <c r="AA347" s="91"/>
      <c r="AB347" s="91"/>
      <c r="AC347" s="37"/>
    </row>
    <row r="348" spans="1:29">
      <c r="A348" s="102"/>
      <c r="B348" s="103"/>
      <c r="C348" s="103"/>
      <c r="D348" s="104"/>
      <c r="E348" s="61"/>
      <c r="G348" s="60"/>
      <c r="H348" s="62"/>
      <c r="I348" s="63"/>
      <c r="J348" s="62"/>
      <c r="X348" s="91"/>
      <c r="Y348" s="91"/>
      <c r="Z348" s="91"/>
      <c r="AA348" s="91"/>
      <c r="AB348" s="91"/>
      <c r="AC348" s="37"/>
    </row>
    <row r="349" spans="1:29">
      <c r="A349" s="102"/>
      <c r="B349" s="103"/>
      <c r="C349" s="103"/>
      <c r="D349" s="104"/>
      <c r="E349" s="61"/>
      <c r="G349" s="60"/>
      <c r="H349" s="62"/>
      <c r="I349" s="63"/>
      <c r="J349" s="62"/>
      <c r="X349" s="91"/>
      <c r="Y349" s="91"/>
      <c r="Z349" s="91"/>
      <c r="AA349" s="91"/>
      <c r="AB349" s="91"/>
      <c r="AC349" s="37"/>
    </row>
    <row r="350" spans="1:29">
      <c r="A350" s="102"/>
      <c r="B350" s="103"/>
      <c r="C350" s="103"/>
      <c r="D350" s="104"/>
      <c r="E350" s="61"/>
      <c r="G350" s="60"/>
      <c r="H350" s="62"/>
      <c r="I350" s="63"/>
      <c r="J350" s="62"/>
      <c r="X350" s="91"/>
      <c r="Y350" s="91"/>
      <c r="Z350" s="91"/>
      <c r="AA350" s="91"/>
      <c r="AB350" s="91"/>
      <c r="AC350" s="37"/>
    </row>
    <row r="351" spans="1:29">
      <c r="A351" s="102"/>
      <c r="B351" s="103"/>
      <c r="C351" s="103"/>
      <c r="D351" s="104"/>
      <c r="E351" s="61"/>
      <c r="G351" s="60"/>
      <c r="H351" s="62"/>
      <c r="I351" s="63"/>
      <c r="J351" s="62"/>
      <c r="X351" s="91"/>
      <c r="Y351" s="91"/>
      <c r="Z351" s="91"/>
      <c r="AA351" s="91"/>
      <c r="AB351" s="91"/>
      <c r="AC351" s="37"/>
    </row>
    <row r="352" spans="1:29">
      <c r="A352" s="102"/>
      <c r="B352" s="103"/>
      <c r="C352" s="103"/>
      <c r="D352" s="104"/>
      <c r="E352" s="61"/>
      <c r="G352" s="60"/>
      <c r="H352" s="62"/>
      <c r="I352" s="63"/>
      <c r="J352" s="62"/>
      <c r="X352" s="91"/>
      <c r="Y352" s="91"/>
      <c r="Z352" s="91"/>
      <c r="AA352" s="91"/>
      <c r="AB352" s="91"/>
      <c r="AC352" s="37"/>
    </row>
    <row r="353" spans="1:29">
      <c r="A353" s="102"/>
      <c r="B353" s="103"/>
      <c r="C353" s="103"/>
      <c r="D353" s="104"/>
      <c r="E353" s="61"/>
      <c r="G353" s="60"/>
      <c r="H353" s="62"/>
      <c r="I353" s="63"/>
      <c r="J353" s="62"/>
      <c r="X353" s="91"/>
      <c r="Y353" s="91"/>
      <c r="Z353" s="91"/>
      <c r="AA353" s="91"/>
      <c r="AB353" s="91"/>
      <c r="AC353" s="37"/>
    </row>
    <row r="354" spans="1:29">
      <c r="A354" s="102"/>
      <c r="B354" s="103"/>
      <c r="C354" s="103"/>
      <c r="D354" s="104"/>
      <c r="E354" s="61"/>
      <c r="G354" s="60"/>
      <c r="H354" s="62"/>
      <c r="I354" s="63"/>
      <c r="J354" s="62"/>
      <c r="X354" s="91"/>
      <c r="Y354" s="91"/>
      <c r="Z354" s="91"/>
      <c r="AA354" s="91"/>
      <c r="AB354" s="91"/>
      <c r="AC354" s="37"/>
    </row>
    <row r="355" spans="1:29">
      <c r="A355" s="102"/>
      <c r="B355" s="103"/>
      <c r="C355" s="103"/>
      <c r="D355" s="104"/>
      <c r="E355" s="61"/>
      <c r="G355" s="60"/>
      <c r="H355" s="62"/>
      <c r="I355" s="63"/>
      <c r="J355" s="62"/>
      <c r="X355" s="91"/>
      <c r="Y355" s="91"/>
      <c r="Z355" s="91"/>
      <c r="AA355" s="91"/>
      <c r="AB355" s="91"/>
      <c r="AC355" s="37"/>
    </row>
    <row r="356" spans="1:29">
      <c r="A356" s="102"/>
      <c r="B356" s="103"/>
      <c r="C356" s="103"/>
      <c r="D356" s="104"/>
      <c r="E356" s="61"/>
      <c r="G356" s="60"/>
      <c r="H356" s="62"/>
      <c r="I356" s="63"/>
      <c r="J356" s="62"/>
      <c r="X356" s="91"/>
      <c r="Y356" s="91"/>
      <c r="Z356" s="91"/>
      <c r="AA356" s="91"/>
      <c r="AB356" s="91"/>
      <c r="AC356" s="37"/>
    </row>
    <row r="357" spans="1:29">
      <c r="A357" s="102"/>
      <c r="B357" s="103"/>
      <c r="C357" s="103"/>
      <c r="D357" s="104"/>
      <c r="E357" s="61"/>
      <c r="G357" s="60"/>
      <c r="H357" s="62"/>
      <c r="I357" s="63"/>
      <c r="J357" s="62"/>
      <c r="X357" s="91"/>
      <c r="Y357" s="91"/>
      <c r="Z357" s="91"/>
      <c r="AA357" s="91"/>
      <c r="AB357" s="91"/>
      <c r="AC357" s="37"/>
    </row>
    <row r="358" spans="1:29">
      <c r="A358" s="102"/>
      <c r="B358" s="103"/>
      <c r="C358" s="103"/>
      <c r="D358" s="104"/>
      <c r="E358" s="61"/>
      <c r="G358" s="60"/>
      <c r="H358" s="62"/>
      <c r="I358" s="63"/>
      <c r="J358" s="62"/>
      <c r="X358" s="91"/>
      <c r="Y358" s="91"/>
      <c r="Z358" s="91"/>
      <c r="AA358" s="91"/>
      <c r="AB358" s="91"/>
      <c r="AC358" s="37"/>
    </row>
    <row r="359" spans="1:29">
      <c r="A359" s="102"/>
      <c r="B359" s="103"/>
      <c r="C359" s="103"/>
      <c r="D359" s="104"/>
      <c r="E359" s="61"/>
      <c r="G359" s="60"/>
      <c r="H359" s="62"/>
      <c r="I359" s="63"/>
      <c r="J359" s="62"/>
      <c r="X359" s="91"/>
      <c r="Y359" s="91"/>
      <c r="Z359" s="91"/>
      <c r="AA359" s="91"/>
      <c r="AB359" s="91"/>
      <c r="AC359" s="37"/>
    </row>
    <row r="360" spans="1:29">
      <c r="A360" s="102"/>
      <c r="B360" s="103"/>
      <c r="C360" s="103"/>
      <c r="D360" s="104"/>
      <c r="E360" s="61"/>
      <c r="G360" s="60"/>
      <c r="H360" s="62"/>
      <c r="I360" s="63"/>
      <c r="J360" s="62"/>
      <c r="X360" s="91"/>
      <c r="Y360" s="91"/>
      <c r="Z360" s="91"/>
      <c r="AA360" s="91"/>
      <c r="AB360" s="91"/>
      <c r="AC360" s="37"/>
    </row>
    <row r="361" spans="1:29">
      <c r="A361" s="102"/>
      <c r="B361" s="103"/>
      <c r="C361" s="103"/>
      <c r="D361" s="104"/>
      <c r="E361" s="61"/>
      <c r="G361" s="60"/>
      <c r="H361" s="62"/>
      <c r="I361" s="63"/>
      <c r="J361" s="62"/>
      <c r="X361" s="91"/>
      <c r="Y361" s="91"/>
      <c r="Z361" s="91"/>
      <c r="AA361" s="91"/>
      <c r="AB361" s="91"/>
      <c r="AC361" s="37"/>
    </row>
    <row r="362" spans="1:29">
      <c r="A362" s="102"/>
      <c r="B362" s="103"/>
      <c r="C362" s="103"/>
      <c r="D362" s="104"/>
      <c r="E362" s="61"/>
      <c r="G362" s="60"/>
      <c r="H362" s="62"/>
      <c r="I362" s="63"/>
      <c r="J362" s="62"/>
      <c r="X362" s="91"/>
      <c r="Y362" s="91"/>
      <c r="Z362" s="91"/>
      <c r="AA362" s="91"/>
      <c r="AB362" s="91"/>
      <c r="AC362" s="37"/>
    </row>
    <row r="363" spans="1:29">
      <c r="A363" s="102"/>
      <c r="B363" s="103"/>
      <c r="C363" s="103"/>
      <c r="D363" s="104"/>
      <c r="E363" s="61"/>
      <c r="G363" s="60"/>
      <c r="H363" s="62"/>
      <c r="I363" s="63"/>
      <c r="J363" s="62"/>
      <c r="X363" s="91"/>
      <c r="Y363" s="91"/>
      <c r="Z363" s="91"/>
      <c r="AA363" s="91"/>
      <c r="AB363" s="91"/>
      <c r="AC363" s="37"/>
    </row>
    <row r="364" spans="1:29">
      <c r="A364" s="102"/>
      <c r="B364" s="103"/>
      <c r="C364" s="103"/>
      <c r="D364" s="104"/>
      <c r="E364" s="61"/>
      <c r="G364" s="60"/>
      <c r="H364" s="62"/>
      <c r="I364" s="63"/>
      <c r="J364" s="62"/>
      <c r="X364" s="91"/>
      <c r="Y364" s="91"/>
      <c r="Z364" s="91"/>
      <c r="AA364" s="91"/>
      <c r="AB364" s="91"/>
      <c r="AC364" s="37"/>
    </row>
    <row r="365" spans="1:29">
      <c r="A365" s="102"/>
      <c r="B365" s="103"/>
      <c r="C365" s="103"/>
      <c r="D365" s="104"/>
      <c r="E365" s="61"/>
      <c r="G365" s="60"/>
      <c r="H365" s="62"/>
      <c r="I365" s="63"/>
      <c r="J365" s="62"/>
      <c r="X365" s="91"/>
      <c r="Y365" s="91"/>
      <c r="Z365" s="91"/>
      <c r="AA365" s="91"/>
      <c r="AB365" s="91"/>
      <c r="AC365" s="37"/>
    </row>
    <row r="366" spans="1:29">
      <c r="A366" s="102"/>
      <c r="B366" s="103"/>
      <c r="C366" s="103"/>
      <c r="D366" s="104"/>
      <c r="E366" s="61"/>
      <c r="G366" s="60"/>
      <c r="H366" s="62"/>
      <c r="I366" s="63"/>
      <c r="J366" s="62"/>
      <c r="X366" s="91"/>
      <c r="Y366" s="91"/>
      <c r="Z366" s="91"/>
      <c r="AA366" s="91"/>
      <c r="AB366" s="91"/>
      <c r="AC366" s="37"/>
    </row>
    <row r="367" spans="1:29">
      <c r="A367" s="102"/>
      <c r="B367" s="103"/>
      <c r="C367" s="103"/>
      <c r="D367" s="104"/>
      <c r="E367" s="61"/>
      <c r="G367" s="60"/>
      <c r="H367" s="62"/>
      <c r="I367" s="63"/>
      <c r="J367" s="62"/>
      <c r="X367" s="91"/>
      <c r="Y367" s="91"/>
      <c r="Z367" s="91"/>
      <c r="AA367" s="91"/>
      <c r="AB367" s="91"/>
      <c r="AC367" s="37"/>
    </row>
    <row r="368" spans="1:29">
      <c r="A368" s="102"/>
      <c r="B368" s="103"/>
      <c r="C368" s="103"/>
      <c r="D368" s="104"/>
      <c r="E368" s="61"/>
      <c r="G368" s="60"/>
      <c r="H368" s="62"/>
      <c r="I368" s="63"/>
      <c r="J368" s="62"/>
      <c r="X368" s="91"/>
      <c r="Y368" s="91"/>
      <c r="Z368" s="91"/>
      <c r="AA368" s="91"/>
      <c r="AB368" s="91"/>
      <c r="AC368" s="37"/>
    </row>
    <row r="369" spans="1:29">
      <c r="A369" s="102"/>
      <c r="B369" s="103"/>
      <c r="C369" s="103"/>
      <c r="D369" s="104"/>
      <c r="E369" s="61"/>
      <c r="G369" s="60"/>
      <c r="H369" s="62"/>
      <c r="I369" s="63"/>
      <c r="J369" s="62"/>
      <c r="X369" s="91"/>
      <c r="Y369" s="91"/>
      <c r="Z369" s="91"/>
      <c r="AA369" s="91"/>
      <c r="AB369" s="91"/>
      <c r="AC369" s="37"/>
    </row>
    <row r="370" spans="1:29">
      <c r="A370" s="102"/>
      <c r="B370" s="103"/>
      <c r="C370" s="103"/>
      <c r="D370" s="104"/>
      <c r="E370" s="61"/>
      <c r="G370" s="60"/>
      <c r="H370" s="62"/>
      <c r="I370" s="63"/>
      <c r="J370" s="62"/>
      <c r="X370" s="91"/>
      <c r="Y370" s="91"/>
      <c r="Z370" s="91"/>
      <c r="AA370" s="91"/>
      <c r="AB370" s="91"/>
      <c r="AC370" s="37"/>
    </row>
    <row r="371" spans="1:29">
      <c r="A371" s="102"/>
      <c r="B371" s="103"/>
      <c r="C371" s="103"/>
      <c r="D371" s="104"/>
      <c r="E371" s="61"/>
      <c r="G371" s="60"/>
      <c r="H371" s="62"/>
      <c r="I371" s="63"/>
      <c r="J371" s="62"/>
      <c r="X371" s="91"/>
      <c r="Y371" s="91"/>
      <c r="Z371" s="91"/>
      <c r="AA371" s="91"/>
      <c r="AB371" s="91"/>
      <c r="AC371" s="37"/>
    </row>
    <row r="372" spans="1:29">
      <c r="A372" s="102"/>
      <c r="B372" s="103"/>
      <c r="C372" s="103"/>
      <c r="D372" s="104"/>
      <c r="E372" s="61"/>
      <c r="G372" s="60"/>
      <c r="H372" s="62"/>
      <c r="I372" s="63"/>
      <c r="J372" s="62"/>
      <c r="X372" s="91"/>
      <c r="Y372" s="91"/>
      <c r="Z372" s="91"/>
      <c r="AA372" s="91"/>
      <c r="AB372" s="91"/>
      <c r="AC372" s="37"/>
    </row>
    <row r="373" spans="1:29">
      <c r="A373" s="102"/>
      <c r="B373" s="103"/>
      <c r="C373" s="103"/>
      <c r="D373" s="104"/>
      <c r="E373" s="61"/>
      <c r="G373" s="60"/>
      <c r="H373" s="62"/>
      <c r="I373" s="63"/>
      <c r="J373" s="62"/>
      <c r="X373" s="91"/>
      <c r="Y373" s="91"/>
      <c r="Z373" s="91"/>
      <c r="AA373" s="91"/>
      <c r="AB373" s="91"/>
      <c r="AC373" s="37"/>
    </row>
    <row r="374" spans="1:29">
      <c r="A374" s="102"/>
      <c r="B374" s="103"/>
      <c r="C374" s="103"/>
      <c r="D374" s="104"/>
      <c r="E374" s="61"/>
      <c r="G374" s="60"/>
      <c r="H374" s="62"/>
      <c r="I374" s="63"/>
      <c r="J374" s="62"/>
      <c r="X374" s="91"/>
      <c r="Y374" s="91"/>
      <c r="Z374" s="91"/>
      <c r="AA374" s="91"/>
      <c r="AB374" s="91"/>
      <c r="AC374" s="37"/>
    </row>
    <row r="375" spans="1:29">
      <c r="A375" s="102"/>
      <c r="B375" s="103"/>
      <c r="C375" s="103"/>
      <c r="D375" s="104"/>
      <c r="E375" s="61"/>
      <c r="G375" s="60"/>
      <c r="H375" s="62"/>
      <c r="I375" s="63"/>
      <c r="J375" s="62"/>
      <c r="X375" s="91"/>
      <c r="Y375" s="91"/>
      <c r="Z375" s="91"/>
      <c r="AA375" s="91"/>
      <c r="AB375" s="91"/>
      <c r="AC375" s="37"/>
    </row>
    <row r="376" spans="1:29">
      <c r="A376" s="102"/>
      <c r="B376" s="103"/>
      <c r="C376" s="103"/>
      <c r="D376" s="104"/>
      <c r="E376" s="61"/>
      <c r="G376" s="60"/>
      <c r="H376" s="62"/>
      <c r="I376" s="63"/>
      <c r="J376" s="62"/>
      <c r="X376" s="91"/>
      <c r="Y376" s="91"/>
      <c r="Z376" s="91"/>
      <c r="AA376" s="91"/>
      <c r="AB376" s="91"/>
      <c r="AC376" s="37"/>
    </row>
    <row r="377" spans="1:29">
      <c r="A377" s="102"/>
      <c r="B377" s="103"/>
      <c r="C377" s="103"/>
      <c r="D377" s="104"/>
      <c r="E377" s="61"/>
      <c r="G377" s="60"/>
      <c r="H377" s="62"/>
      <c r="I377" s="63"/>
      <c r="J377" s="62"/>
      <c r="X377" s="91"/>
      <c r="Y377" s="91"/>
      <c r="Z377" s="91"/>
      <c r="AA377" s="91"/>
      <c r="AB377" s="91"/>
      <c r="AC377" s="37"/>
    </row>
    <row r="378" spans="1:29">
      <c r="A378" s="102"/>
      <c r="B378" s="103"/>
      <c r="C378" s="103"/>
      <c r="D378" s="104"/>
      <c r="E378" s="61"/>
      <c r="G378" s="60"/>
      <c r="H378" s="62"/>
      <c r="I378" s="63"/>
      <c r="J378" s="62"/>
      <c r="X378" s="91"/>
      <c r="Y378" s="91"/>
      <c r="Z378" s="91"/>
      <c r="AA378" s="91"/>
      <c r="AB378" s="91"/>
      <c r="AC378" s="37"/>
    </row>
    <row r="379" spans="1:29">
      <c r="A379" s="102"/>
      <c r="B379" s="103"/>
      <c r="C379" s="103"/>
      <c r="D379" s="104"/>
      <c r="E379" s="61"/>
      <c r="G379" s="60"/>
      <c r="H379" s="62"/>
      <c r="I379" s="63"/>
      <c r="J379" s="62"/>
      <c r="X379" s="91"/>
      <c r="Y379" s="91"/>
      <c r="Z379" s="91"/>
      <c r="AA379" s="91"/>
      <c r="AB379" s="91"/>
      <c r="AC379" s="37"/>
    </row>
    <row r="380" spans="1:29">
      <c r="A380" s="102"/>
      <c r="B380" s="103"/>
      <c r="C380" s="103"/>
      <c r="D380" s="104"/>
      <c r="E380" s="61"/>
      <c r="G380" s="60"/>
      <c r="H380" s="62"/>
      <c r="I380" s="63"/>
      <c r="J380" s="62"/>
      <c r="X380" s="91"/>
      <c r="Y380" s="91"/>
      <c r="Z380" s="91"/>
      <c r="AA380" s="91"/>
      <c r="AB380" s="91"/>
      <c r="AC380" s="37"/>
    </row>
    <row r="381" spans="1:29">
      <c r="A381" s="102"/>
      <c r="B381" s="103"/>
      <c r="C381" s="103"/>
      <c r="D381" s="104"/>
      <c r="E381" s="61"/>
      <c r="G381" s="60"/>
      <c r="H381" s="62"/>
      <c r="I381" s="63"/>
      <c r="J381" s="62"/>
      <c r="X381" s="91"/>
      <c r="Y381" s="91"/>
      <c r="Z381" s="91"/>
      <c r="AA381" s="91"/>
      <c r="AB381" s="91"/>
      <c r="AC381" s="37"/>
    </row>
    <row r="382" spans="1:29">
      <c r="A382" s="102"/>
      <c r="B382" s="103"/>
      <c r="C382" s="103"/>
      <c r="D382" s="104"/>
      <c r="E382" s="61"/>
      <c r="G382" s="60"/>
      <c r="H382" s="62"/>
      <c r="I382" s="63"/>
      <c r="J382" s="62"/>
      <c r="X382" s="91"/>
      <c r="Y382" s="91"/>
      <c r="Z382" s="91"/>
      <c r="AA382" s="91"/>
      <c r="AB382" s="91"/>
      <c r="AC382" s="37"/>
    </row>
    <row r="383" spans="1:29">
      <c r="A383" s="102"/>
      <c r="B383" s="103"/>
      <c r="C383" s="103"/>
      <c r="D383" s="104"/>
      <c r="E383" s="61"/>
      <c r="G383" s="60"/>
      <c r="H383" s="62"/>
      <c r="I383" s="63"/>
      <c r="J383" s="62"/>
      <c r="X383" s="91"/>
      <c r="Y383" s="91"/>
      <c r="Z383" s="91"/>
      <c r="AA383" s="91"/>
      <c r="AB383" s="91"/>
      <c r="AC383" s="37"/>
    </row>
    <row r="384" spans="1:29">
      <c r="A384" s="102"/>
      <c r="B384" s="103"/>
      <c r="C384" s="103"/>
      <c r="D384" s="104"/>
      <c r="E384" s="61"/>
      <c r="G384" s="60"/>
      <c r="H384" s="62"/>
      <c r="I384" s="63"/>
      <c r="J384" s="62"/>
      <c r="X384" s="91"/>
      <c r="Y384" s="91"/>
      <c r="Z384" s="91"/>
      <c r="AA384" s="91"/>
      <c r="AB384" s="91"/>
      <c r="AC384" s="37"/>
    </row>
    <row r="385" spans="1:29">
      <c r="A385" s="102"/>
      <c r="B385" s="103"/>
      <c r="C385" s="103"/>
      <c r="D385" s="104"/>
      <c r="E385" s="61"/>
      <c r="G385" s="60"/>
      <c r="H385" s="62"/>
      <c r="I385" s="63"/>
      <c r="J385" s="62"/>
      <c r="X385" s="91"/>
      <c r="Y385" s="91"/>
      <c r="Z385" s="91"/>
      <c r="AA385" s="91"/>
      <c r="AB385" s="91"/>
      <c r="AC385" s="37"/>
    </row>
    <row r="386" spans="1:29">
      <c r="A386" s="102"/>
      <c r="B386" s="103"/>
      <c r="C386" s="103"/>
      <c r="D386" s="104"/>
      <c r="E386" s="61"/>
      <c r="G386" s="60"/>
      <c r="H386" s="62"/>
      <c r="I386" s="63"/>
      <c r="J386" s="62"/>
      <c r="X386" s="91"/>
      <c r="Y386" s="91"/>
      <c r="Z386" s="91"/>
      <c r="AA386" s="91"/>
      <c r="AB386" s="91"/>
      <c r="AC386" s="37"/>
    </row>
    <row r="387" spans="1:29">
      <c r="A387" s="102"/>
      <c r="B387" s="103"/>
      <c r="C387" s="103"/>
      <c r="D387" s="104"/>
      <c r="E387" s="61"/>
      <c r="G387" s="60"/>
      <c r="H387" s="62"/>
      <c r="I387" s="63"/>
      <c r="J387" s="62"/>
      <c r="X387" s="91"/>
      <c r="Y387" s="91"/>
      <c r="Z387" s="91"/>
      <c r="AA387" s="91"/>
      <c r="AB387" s="91"/>
      <c r="AC387" s="37"/>
    </row>
    <row r="388" spans="1:29">
      <c r="A388" s="102"/>
      <c r="B388" s="103"/>
      <c r="C388" s="103"/>
      <c r="D388" s="104"/>
      <c r="E388" s="61"/>
      <c r="G388" s="60"/>
      <c r="H388" s="62"/>
      <c r="I388" s="63"/>
      <c r="J388" s="62"/>
      <c r="X388" s="91"/>
      <c r="Y388" s="91"/>
      <c r="Z388" s="91"/>
      <c r="AA388" s="91"/>
      <c r="AB388" s="91"/>
      <c r="AC388" s="37"/>
    </row>
    <row r="389" spans="1:29">
      <c r="A389" s="102"/>
      <c r="B389" s="103"/>
      <c r="C389" s="103"/>
      <c r="D389" s="104"/>
      <c r="E389" s="61"/>
      <c r="G389" s="60"/>
      <c r="H389" s="62"/>
      <c r="I389" s="63"/>
      <c r="J389" s="62"/>
      <c r="X389" s="91"/>
      <c r="Y389" s="91"/>
      <c r="Z389" s="91"/>
      <c r="AA389" s="91"/>
      <c r="AB389" s="91"/>
      <c r="AC389" s="37"/>
    </row>
    <row r="390" spans="1:29">
      <c r="A390" s="102"/>
      <c r="B390" s="103"/>
      <c r="C390" s="103"/>
      <c r="D390" s="104"/>
      <c r="E390" s="61"/>
      <c r="G390" s="60"/>
      <c r="H390" s="62"/>
      <c r="I390" s="63"/>
      <c r="J390" s="62"/>
      <c r="X390" s="91"/>
      <c r="Y390" s="91"/>
      <c r="Z390" s="91"/>
      <c r="AA390" s="91"/>
      <c r="AB390" s="91"/>
      <c r="AC390" s="37"/>
    </row>
    <row r="391" spans="1:29">
      <c r="A391" s="102"/>
      <c r="B391" s="103"/>
      <c r="C391" s="103"/>
      <c r="D391" s="104"/>
      <c r="E391" s="61"/>
      <c r="G391" s="60"/>
      <c r="H391" s="62"/>
      <c r="I391" s="63"/>
      <c r="J391" s="62"/>
      <c r="X391" s="91"/>
      <c r="Y391" s="91"/>
      <c r="Z391" s="91"/>
      <c r="AA391" s="91"/>
      <c r="AB391" s="91"/>
      <c r="AC391" s="37"/>
    </row>
    <row r="392" spans="1:29">
      <c r="A392" s="102"/>
      <c r="B392" s="103"/>
      <c r="C392" s="103"/>
      <c r="D392" s="104"/>
      <c r="E392" s="61"/>
      <c r="G392" s="60"/>
      <c r="H392" s="62"/>
      <c r="I392" s="63"/>
      <c r="J392" s="62"/>
      <c r="X392" s="91"/>
      <c r="Y392" s="91"/>
      <c r="Z392" s="91"/>
      <c r="AA392" s="91"/>
      <c r="AB392" s="91"/>
      <c r="AC392" s="37"/>
    </row>
    <row r="393" spans="1:29">
      <c r="A393" s="102"/>
      <c r="B393" s="103"/>
      <c r="C393" s="103"/>
      <c r="D393" s="104"/>
      <c r="E393" s="61"/>
      <c r="G393" s="60"/>
      <c r="H393" s="62"/>
      <c r="I393" s="63"/>
      <c r="J393" s="62"/>
      <c r="X393" s="91"/>
      <c r="Y393" s="91"/>
      <c r="Z393" s="91"/>
      <c r="AA393" s="91"/>
      <c r="AB393" s="91"/>
      <c r="AC393" s="37"/>
    </row>
    <row r="394" spans="1:29">
      <c r="A394" s="102"/>
      <c r="B394" s="103"/>
      <c r="C394" s="103"/>
      <c r="D394" s="104"/>
      <c r="E394" s="61"/>
      <c r="G394" s="60"/>
      <c r="H394" s="62"/>
      <c r="I394" s="63"/>
      <c r="J394" s="62"/>
      <c r="X394" s="91"/>
      <c r="Y394" s="91"/>
      <c r="Z394" s="91"/>
      <c r="AA394" s="91"/>
      <c r="AB394" s="91"/>
      <c r="AC394" s="37"/>
    </row>
    <row r="395" spans="1:29">
      <c r="A395" s="102"/>
      <c r="B395" s="103"/>
      <c r="C395" s="103"/>
      <c r="D395" s="104"/>
      <c r="E395" s="61"/>
      <c r="G395" s="60"/>
      <c r="H395" s="62"/>
      <c r="I395" s="63"/>
      <c r="J395" s="62"/>
      <c r="X395" s="91"/>
      <c r="Y395" s="91"/>
      <c r="Z395" s="91"/>
      <c r="AA395" s="91"/>
      <c r="AB395" s="91"/>
      <c r="AC395" s="37"/>
    </row>
    <row r="396" spans="1:29">
      <c r="A396" s="102"/>
      <c r="B396" s="103"/>
      <c r="C396" s="103"/>
      <c r="D396" s="104"/>
      <c r="E396" s="61"/>
      <c r="G396" s="60"/>
      <c r="H396" s="62"/>
      <c r="I396" s="63"/>
      <c r="J396" s="62"/>
      <c r="X396" s="91"/>
      <c r="Y396" s="91"/>
      <c r="Z396" s="91"/>
      <c r="AA396" s="91"/>
      <c r="AB396" s="91"/>
      <c r="AC396" s="37"/>
    </row>
    <row r="397" spans="1:29">
      <c r="A397" s="102"/>
      <c r="B397" s="103"/>
      <c r="C397" s="103"/>
      <c r="D397" s="104"/>
      <c r="E397" s="61"/>
      <c r="G397" s="60"/>
      <c r="H397" s="62"/>
      <c r="I397" s="63"/>
      <c r="J397" s="62"/>
      <c r="X397" s="91"/>
      <c r="Y397" s="91"/>
      <c r="Z397" s="91"/>
      <c r="AA397" s="91"/>
      <c r="AB397" s="91"/>
      <c r="AC397" s="37"/>
    </row>
    <row r="398" spans="1:29">
      <c r="A398" s="102"/>
      <c r="B398" s="103"/>
      <c r="C398" s="103"/>
      <c r="D398" s="104"/>
      <c r="E398" s="61"/>
      <c r="G398" s="60"/>
      <c r="H398" s="62"/>
      <c r="I398" s="63"/>
      <c r="J398" s="62"/>
      <c r="X398" s="91"/>
      <c r="Y398" s="91"/>
      <c r="Z398" s="91"/>
      <c r="AA398" s="91"/>
      <c r="AB398" s="91"/>
      <c r="AC398" s="37"/>
    </row>
    <row r="399" spans="1:29">
      <c r="A399" s="102"/>
      <c r="B399" s="103"/>
      <c r="C399" s="103"/>
      <c r="D399" s="104"/>
      <c r="E399" s="61"/>
      <c r="G399" s="60"/>
      <c r="H399" s="62"/>
      <c r="I399" s="63"/>
      <c r="J399" s="62"/>
      <c r="X399" s="91"/>
      <c r="Y399" s="91"/>
      <c r="Z399" s="91"/>
      <c r="AA399" s="91"/>
      <c r="AB399" s="91"/>
      <c r="AC399" s="37"/>
    </row>
    <row r="400" spans="1:29">
      <c r="A400" s="102"/>
      <c r="B400" s="103"/>
      <c r="C400" s="103"/>
      <c r="D400" s="104"/>
      <c r="E400" s="61"/>
      <c r="G400" s="60"/>
      <c r="H400" s="62"/>
      <c r="I400" s="63"/>
      <c r="J400" s="62"/>
      <c r="X400" s="91"/>
      <c r="Y400" s="91"/>
      <c r="Z400" s="91"/>
      <c r="AA400" s="91"/>
      <c r="AB400" s="91"/>
      <c r="AC400" s="37"/>
    </row>
    <row r="401" spans="1:29">
      <c r="A401" s="102"/>
      <c r="B401" s="103"/>
      <c r="C401" s="103"/>
      <c r="D401" s="104"/>
      <c r="E401" s="61"/>
      <c r="G401" s="60"/>
      <c r="H401" s="62"/>
      <c r="I401" s="63"/>
      <c r="J401" s="62"/>
      <c r="X401" s="91"/>
      <c r="Y401" s="91"/>
      <c r="Z401" s="91"/>
      <c r="AA401" s="91"/>
      <c r="AB401" s="91"/>
      <c r="AC401" s="37"/>
    </row>
    <row r="402" spans="1:29">
      <c r="A402" s="102"/>
      <c r="B402" s="103"/>
      <c r="C402" s="103"/>
      <c r="D402" s="104"/>
      <c r="E402" s="61"/>
      <c r="G402" s="60"/>
      <c r="H402" s="62"/>
      <c r="I402" s="63"/>
      <c r="J402" s="62"/>
      <c r="X402" s="91"/>
      <c r="Y402" s="91"/>
      <c r="Z402" s="91"/>
      <c r="AA402" s="91"/>
      <c r="AB402" s="91"/>
      <c r="AC402" s="37"/>
    </row>
    <row r="403" spans="1:29">
      <c r="A403" s="102"/>
      <c r="B403" s="103"/>
      <c r="C403" s="103"/>
      <c r="D403" s="104"/>
      <c r="E403" s="61"/>
      <c r="G403" s="60"/>
      <c r="H403" s="62"/>
      <c r="I403" s="63"/>
      <c r="J403" s="62"/>
      <c r="X403" s="91"/>
      <c r="Y403" s="91"/>
      <c r="Z403" s="91"/>
      <c r="AA403" s="91"/>
      <c r="AB403" s="91"/>
      <c r="AC403" s="37"/>
    </row>
    <row r="404" spans="1:29">
      <c r="A404" s="102"/>
      <c r="B404" s="103"/>
      <c r="C404" s="103"/>
      <c r="D404" s="104"/>
      <c r="E404" s="61"/>
      <c r="G404" s="60"/>
      <c r="H404" s="62"/>
      <c r="I404" s="63"/>
      <c r="J404" s="62"/>
      <c r="X404" s="91"/>
      <c r="Y404" s="91"/>
      <c r="Z404" s="91"/>
      <c r="AA404" s="91"/>
      <c r="AB404" s="91"/>
      <c r="AC404" s="37"/>
    </row>
    <row r="405" spans="1:29">
      <c r="A405" s="102"/>
      <c r="B405" s="103"/>
      <c r="C405" s="103"/>
      <c r="D405" s="104"/>
      <c r="E405" s="61"/>
      <c r="G405" s="60"/>
      <c r="H405" s="62"/>
      <c r="I405" s="63"/>
      <c r="J405" s="62"/>
      <c r="X405" s="91"/>
      <c r="Y405" s="91"/>
      <c r="Z405" s="91"/>
      <c r="AA405" s="91"/>
      <c r="AB405" s="91"/>
      <c r="AC405" s="37"/>
    </row>
    <row r="406" spans="1:29">
      <c r="A406" s="102"/>
      <c r="B406" s="103"/>
      <c r="C406" s="103"/>
      <c r="D406" s="104"/>
      <c r="E406" s="61"/>
      <c r="G406" s="60"/>
      <c r="H406" s="62"/>
      <c r="I406" s="63"/>
      <c r="J406" s="62"/>
      <c r="X406" s="91"/>
      <c r="Y406" s="91"/>
      <c r="Z406" s="91"/>
      <c r="AA406" s="91"/>
      <c r="AB406" s="91"/>
      <c r="AC406" s="37"/>
    </row>
    <row r="407" spans="1:29">
      <c r="A407" s="102"/>
      <c r="B407" s="103"/>
      <c r="C407" s="103"/>
      <c r="D407" s="104"/>
      <c r="E407" s="61"/>
      <c r="G407" s="60"/>
      <c r="H407" s="62"/>
      <c r="I407" s="63"/>
      <c r="J407" s="62"/>
      <c r="X407" s="91"/>
      <c r="Y407" s="91"/>
      <c r="Z407" s="91"/>
      <c r="AA407" s="91"/>
      <c r="AB407" s="91"/>
      <c r="AC407" s="37"/>
    </row>
    <row r="408" spans="1:29">
      <c r="A408" s="102"/>
      <c r="B408" s="103"/>
      <c r="C408" s="103"/>
      <c r="D408" s="104"/>
      <c r="E408" s="61"/>
      <c r="G408" s="60"/>
      <c r="H408" s="62"/>
      <c r="I408" s="63"/>
      <c r="J408" s="62"/>
      <c r="X408" s="91"/>
      <c r="Y408" s="91"/>
      <c r="Z408" s="91"/>
      <c r="AA408" s="91"/>
      <c r="AB408" s="91"/>
      <c r="AC408" s="37"/>
    </row>
    <row r="409" spans="1:29">
      <c r="A409" s="102"/>
      <c r="B409" s="103"/>
      <c r="C409" s="103"/>
      <c r="D409" s="104"/>
      <c r="E409" s="61"/>
      <c r="G409" s="60"/>
      <c r="H409" s="62"/>
      <c r="I409" s="63"/>
      <c r="J409" s="62"/>
      <c r="X409" s="91"/>
      <c r="Y409" s="91"/>
      <c r="Z409" s="91"/>
      <c r="AA409" s="91"/>
      <c r="AB409" s="91"/>
      <c r="AC409" s="37"/>
    </row>
    <row r="410" spans="1:29">
      <c r="A410" s="102"/>
      <c r="B410" s="103"/>
      <c r="C410" s="103"/>
      <c r="D410" s="104"/>
      <c r="E410" s="61"/>
      <c r="G410" s="60"/>
      <c r="H410" s="62"/>
      <c r="I410" s="63"/>
      <c r="J410" s="62"/>
      <c r="X410" s="91"/>
      <c r="Y410" s="91"/>
      <c r="Z410" s="91"/>
      <c r="AA410" s="91"/>
      <c r="AB410" s="91"/>
      <c r="AC410" s="37"/>
    </row>
    <row r="411" spans="1:29">
      <c r="A411" s="102"/>
      <c r="B411" s="103"/>
      <c r="C411" s="103"/>
      <c r="D411" s="104"/>
      <c r="E411" s="61"/>
      <c r="G411" s="60"/>
      <c r="H411" s="62"/>
      <c r="I411" s="63"/>
      <c r="J411" s="62"/>
      <c r="X411" s="91"/>
      <c r="Y411" s="91"/>
      <c r="Z411" s="91"/>
      <c r="AA411" s="91"/>
      <c r="AB411" s="91"/>
      <c r="AC411" s="37"/>
    </row>
    <row r="412" spans="1:29">
      <c r="A412" s="102"/>
      <c r="B412" s="103"/>
      <c r="C412" s="103"/>
      <c r="D412" s="104"/>
      <c r="E412" s="61"/>
      <c r="G412" s="60"/>
      <c r="H412" s="62"/>
      <c r="I412" s="63"/>
      <c r="J412" s="62"/>
      <c r="X412" s="91"/>
      <c r="Y412" s="91"/>
      <c r="Z412" s="91"/>
      <c r="AA412" s="91"/>
      <c r="AB412" s="91"/>
      <c r="AC412" s="37"/>
    </row>
    <row r="413" spans="1:29">
      <c r="A413" s="102"/>
      <c r="B413" s="103"/>
      <c r="C413" s="103"/>
      <c r="D413" s="104"/>
      <c r="E413" s="61"/>
      <c r="G413" s="60"/>
      <c r="H413" s="62"/>
      <c r="I413" s="63"/>
      <c r="J413" s="62"/>
      <c r="X413" s="91"/>
      <c r="Y413" s="91"/>
      <c r="Z413" s="91"/>
      <c r="AA413" s="91"/>
      <c r="AB413" s="91"/>
      <c r="AC413" s="37"/>
    </row>
    <row r="414" spans="1:29">
      <c r="A414" s="102"/>
      <c r="B414" s="103"/>
      <c r="C414" s="103"/>
      <c r="D414" s="104"/>
      <c r="E414" s="61"/>
      <c r="G414" s="60"/>
      <c r="H414" s="62"/>
      <c r="I414" s="63"/>
      <c r="J414" s="62"/>
      <c r="X414" s="91"/>
      <c r="Y414" s="91"/>
      <c r="Z414" s="91"/>
      <c r="AA414" s="91"/>
      <c r="AB414" s="91"/>
      <c r="AC414" s="37"/>
    </row>
    <row r="415" spans="1:29">
      <c r="A415" s="102"/>
      <c r="B415" s="103"/>
      <c r="C415" s="103"/>
      <c r="D415" s="104"/>
      <c r="E415" s="61"/>
      <c r="G415" s="60"/>
      <c r="H415" s="62"/>
      <c r="I415" s="63"/>
      <c r="J415" s="62"/>
      <c r="X415" s="91"/>
      <c r="Y415" s="91"/>
      <c r="Z415" s="91"/>
      <c r="AA415" s="91"/>
      <c r="AB415" s="91"/>
      <c r="AC415" s="37"/>
    </row>
    <row r="416" spans="1:29">
      <c r="A416" s="102"/>
      <c r="B416" s="103"/>
      <c r="C416" s="103"/>
      <c r="D416" s="104"/>
      <c r="E416" s="61"/>
      <c r="G416" s="60"/>
      <c r="H416" s="62"/>
      <c r="I416" s="63"/>
      <c r="J416" s="62"/>
      <c r="X416" s="91"/>
      <c r="Y416" s="91"/>
      <c r="Z416" s="91"/>
      <c r="AA416" s="91"/>
      <c r="AB416" s="91"/>
      <c r="AC416" s="37"/>
    </row>
    <row r="417" spans="1:29">
      <c r="A417" s="102"/>
      <c r="B417" s="103"/>
      <c r="C417" s="103"/>
      <c r="D417" s="104"/>
      <c r="E417" s="61"/>
      <c r="G417" s="60"/>
      <c r="H417" s="62"/>
      <c r="I417" s="63"/>
      <c r="J417" s="62"/>
      <c r="X417" s="91"/>
      <c r="Y417" s="91"/>
      <c r="Z417" s="91"/>
      <c r="AA417" s="91"/>
      <c r="AB417" s="91"/>
      <c r="AC417" s="37"/>
    </row>
    <row r="418" spans="1:29">
      <c r="A418" s="102"/>
      <c r="B418" s="103"/>
      <c r="C418" s="103"/>
      <c r="D418" s="104"/>
      <c r="E418" s="61"/>
      <c r="G418" s="60"/>
      <c r="H418" s="62"/>
      <c r="I418" s="63"/>
      <c r="J418" s="62"/>
      <c r="X418" s="91"/>
      <c r="Y418" s="91"/>
      <c r="Z418" s="91"/>
      <c r="AA418" s="91"/>
      <c r="AB418" s="91"/>
      <c r="AC418" s="37"/>
    </row>
    <row r="419" spans="1:29">
      <c r="A419" s="102"/>
      <c r="B419" s="103"/>
      <c r="C419" s="103"/>
      <c r="D419" s="104"/>
      <c r="E419" s="61"/>
      <c r="G419" s="60"/>
      <c r="H419" s="62"/>
      <c r="I419" s="63"/>
      <c r="J419" s="62"/>
      <c r="X419" s="91"/>
      <c r="Y419" s="91"/>
      <c r="Z419" s="91"/>
      <c r="AA419" s="91"/>
      <c r="AB419" s="91"/>
      <c r="AC419" s="37"/>
    </row>
    <row r="420" spans="1:29">
      <c r="A420" s="102"/>
      <c r="B420" s="103"/>
      <c r="C420" s="103"/>
      <c r="D420" s="104"/>
      <c r="E420" s="61"/>
      <c r="G420" s="60"/>
      <c r="H420" s="62"/>
      <c r="I420" s="63"/>
      <c r="J420" s="62"/>
      <c r="X420" s="91"/>
      <c r="Y420" s="91"/>
      <c r="Z420" s="91"/>
      <c r="AA420" s="91"/>
      <c r="AB420" s="91"/>
      <c r="AC420" s="37"/>
    </row>
    <row r="421" spans="1:29">
      <c r="A421" s="102"/>
      <c r="B421" s="103"/>
      <c r="C421" s="103"/>
      <c r="D421" s="104"/>
      <c r="E421" s="61"/>
      <c r="G421" s="60"/>
      <c r="H421" s="62"/>
      <c r="I421" s="63"/>
      <c r="J421" s="62"/>
      <c r="X421" s="91"/>
      <c r="Y421" s="91"/>
      <c r="Z421" s="91"/>
      <c r="AA421" s="91"/>
      <c r="AB421" s="91"/>
      <c r="AC421" s="37"/>
    </row>
    <row r="422" spans="1:29">
      <c r="A422" s="102"/>
      <c r="B422" s="103"/>
      <c r="C422" s="103"/>
      <c r="D422" s="104"/>
      <c r="E422" s="61"/>
      <c r="G422" s="60"/>
      <c r="H422" s="62"/>
      <c r="I422" s="63"/>
      <c r="J422" s="62"/>
      <c r="X422" s="91"/>
      <c r="Y422" s="91"/>
      <c r="Z422" s="91"/>
      <c r="AA422" s="91"/>
      <c r="AB422" s="91"/>
      <c r="AC422" s="37"/>
    </row>
    <row r="423" spans="1:29">
      <c r="A423" s="102"/>
      <c r="B423" s="103"/>
      <c r="C423" s="103"/>
      <c r="D423" s="104"/>
      <c r="E423" s="61"/>
      <c r="G423" s="60"/>
      <c r="H423" s="62"/>
      <c r="I423" s="63"/>
      <c r="J423" s="62"/>
      <c r="X423" s="91"/>
      <c r="Y423" s="91"/>
      <c r="Z423" s="91"/>
      <c r="AA423" s="91"/>
      <c r="AB423" s="91"/>
      <c r="AC423" s="37"/>
    </row>
    <row r="424" spans="1:29">
      <c r="A424" s="102"/>
      <c r="B424" s="103"/>
      <c r="C424" s="103"/>
      <c r="D424" s="104"/>
      <c r="E424" s="61"/>
      <c r="G424" s="60"/>
      <c r="H424" s="62"/>
      <c r="I424" s="63"/>
      <c r="J424" s="62"/>
      <c r="X424" s="91"/>
      <c r="Y424" s="91"/>
      <c r="Z424" s="91"/>
      <c r="AA424" s="91"/>
      <c r="AB424" s="91"/>
      <c r="AC424" s="37"/>
    </row>
    <row r="425" spans="1:29">
      <c r="A425" s="102"/>
      <c r="B425" s="103"/>
      <c r="C425" s="103"/>
      <c r="D425" s="104"/>
      <c r="E425" s="61"/>
      <c r="G425" s="60"/>
      <c r="H425" s="62"/>
      <c r="I425" s="63"/>
      <c r="J425" s="62"/>
      <c r="X425" s="91"/>
      <c r="Y425" s="91"/>
      <c r="Z425" s="91"/>
      <c r="AA425" s="91"/>
      <c r="AB425" s="91"/>
      <c r="AC425" s="37"/>
    </row>
    <row r="426" spans="1:29">
      <c r="A426" s="102"/>
      <c r="B426" s="103"/>
      <c r="C426" s="103"/>
      <c r="D426" s="104"/>
      <c r="E426" s="61"/>
      <c r="G426" s="60"/>
      <c r="H426" s="62"/>
      <c r="I426" s="63"/>
      <c r="J426" s="62"/>
      <c r="X426" s="91"/>
      <c r="Y426" s="91"/>
      <c r="Z426" s="91"/>
      <c r="AA426" s="91"/>
      <c r="AB426" s="91"/>
      <c r="AC426" s="37"/>
    </row>
    <row r="427" spans="1:29">
      <c r="A427" s="102"/>
      <c r="B427" s="103"/>
      <c r="C427" s="103"/>
      <c r="D427" s="104"/>
      <c r="E427" s="61"/>
      <c r="G427" s="60"/>
      <c r="H427" s="62"/>
      <c r="I427" s="63"/>
      <c r="J427" s="62"/>
      <c r="X427" s="91"/>
      <c r="Y427" s="91"/>
      <c r="Z427" s="91"/>
      <c r="AA427" s="91"/>
      <c r="AB427" s="91"/>
      <c r="AC427" s="37"/>
    </row>
    <row r="428" spans="1:29">
      <c r="A428" s="102"/>
      <c r="B428" s="103"/>
      <c r="C428" s="103"/>
      <c r="D428" s="104"/>
      <c r="E428" s="61"/>
      <c r="G428" s="60"/>
      <c r="H428" s="62"/>
      <c r="I428" s="63"/>
      <c r="J428" s="62"/>
      <c r="X428" s="91"/>
      <c r="Y428" s="91"/>
      <c r="Z428" s="91"/>
      <c r="AA428" s="91"/>
      <c r="AB428" s="91"/>
      <c r="AC428" s="37"/>
    </row>
    <row r="429" spans="1:29">
      <c r="A429" s="102"/>
      <c r="B429" s="103"/>
      <c r="C429" s="103"/>
      <c r="D429" s="104"/>
      <c r="E429" s="61"/>
      <c r="G429" s="60"/>
      <c r="H429" s="62"/>
      <c r="I429" s="63"/>
      <c r="J429" s="62"/>
      <c r="X429" s="91"/>
      <c r="Y429" s="91"/>
      <c r="Z429" s="91"/>
      <c r="AA429" s="91"/>
      <c r="AB429" s="91"/>
      <c r="AC429" s="37"/>
    </row>
    <row r="430" spans="1:29">
      <c r="A430" s="102"/>
      <c r="B430" s="103"/>
      <c r="C430" s="103"/>
      <c r="D430" s="104"/>
      <c r="E430" s="61"/>
      <c r="G430" s="60"/>
      <c r="H430" s="62"/>
      <c r="I430" s="63"/>
      <c r="J430" s="62"/>
      <c r="X430" s="91"/>
      <c r="Y430" s="91"/>
      <c r="Z430" s="91"/>
      <c r="AA430" s="91"/>
      <c r="AB430" s="91"/>
      <c r="AC430" s="37"/>
    </row>
    <row r="431" spans="1:29">
      <c r="A431" s="102"/>
      <c r="B431" s="103"/>
      <c r="C431" s="103"/>
      <c r="D431" s="104"/>
      <c r="E431" s="61"/>
      <c r="G431" s="60"/>
      <c r="H431" s="62"/>
      <c r="I431" s="63"/>
      <c r="J431" s="62"/>
      <c r="X431" s="91"/>
      <c r="Y431" s="91"/>
      <c r="Z431" s="91"/>
      <c r="AA431" s="91"/>
      <c r="AB431" s="91"/>
      <c r="AC431" s="37"/>
    </row>
    <row r="432" spans="1:29">
      <c r="A432" s="102"/>
      <c r="B432" s="103"/>
      <c r="C432" s="103"/>
      <c r="D432" s="104"/>
      <c r="E432" s="61"/>
      <c r="G432" s="60"/>
      <c r="H432" s="62"/>
      <c r="I432" s="63"/>
      <c r="J432" s="62"/>
      <c r="X432" s="91"/>
      <c r="Y432" s="91"/>
      <c r="Z432" s="91"/>
      <c r="AA432" s="91"/>
      <c r="AB432" s="91"/>
      <c r="AC432" s="37"/>
    </row>
    <row r="433" spans="1:29">
      <c r="A433" s="102"/>
      <c r="B433" s="103"/>
      <c r="C433" s="103"/>
      <c r="D433" s="104"/>
      <c r="E433" s="61"/>
      <c r="G433" s="60"/>
      <c r="H433" s="62"/>
      <c r="I433" s="63"/>
      <c r="J433" s="62"/>
      <c r="X433" s="91"/>
      <c r="Y433" s="91"/>
      <c r="Z433" s="91"/>
      <c r="AA433" s="91"/>
      <c r="AB433" s="91"/>
      <c r="AC433" s="37"/>
    </row>
    <row r="434" spans="1:29">
      <c r="A434" s="102"/>
      <c r="B434" s="103"/>
      <c r="C434" s="103"/>
      <c r="D434" s="104"/>
      <c r="E434" s="61"/>
      <c r="G434" s="60"/>
      <c r="H434" s="62"/>
      <c r="I434" s="63"/>
      <c r="J434" s="62"/>
      <c r="X434" s="91"/>
      <c r="Y434" s="91"/>
      <c r="Z434" s="91"/>
      <c r="AA434" s="91"/>
      <c r="AB434" s="91"/>
      <c r="AC434" s="37"/>
    </row>
    <row r="435" spans="1:29">
      <c r="A435" s="102"/>
      <c r="B435" s="103"/>
      <c r="C435" s="103"/>
      <c r="D435" s="104"/>
      <c r="E435" s="61"/>
      <c r="G435" s="60"/>
      <c r="H435" s="62"/>
      <c r="I435" s="63"/>
      <c r="J435" s="62"/>
      <c r="X435" s="91"/>
      <c r="Y435" s="91"/>
      <c r="Z435" s="91"/>
      <c r="AA435" s="91"/>
      <c r="AB435" s="91"/>
      <c r="AC435" s="37"/>
    </row>
    <row r="436" spans="1:29">
      <c r="A436" s="102"/>
      <c r="B436" s="103"/>
      <c r="C436" s="103"/>
      <c r="D436" s="104"/>
      <c r="E436" s="61"/>
      <c r="G436" s="60"/>
      <c r="H436" s="62"/>
      <c r="I436" s="63"/>
      <c r="J436" s="62"/>
      <c r="X436" s="91"/>
      <c r="Y436" s="91"/>
      <c r="Z436" s="91"/>
      <c r="AA436" s="91"/>
      <c r="AB436" s="91"/>
      <c r="AC436" s="37"/>
    </row>
    <row r="437" spans="1:29">
      <c r="A437" s="102"/>
      <c r="B437" s="103"/>
      <c r="C437" s="103"/>
      <c r="D437" s="104"/>
      <c r="E437" s="61"/>
      <c r="G437" s="60"/>
      <c r="H437" s="62"/>
      <c r="I437" s="63"/>
      <c r="J437" s="62"/>
      <c r="X437" s="91"/>
      <c r="Y437" s="91"/>
      <c r="Z437" s="91"/>
      <c r="AA437" s="91"/>
      <c r="AB437" s="91"/>
      <c r="AC437" s="37"/>
    </row>
    <row r="438" spans="1:29">
      <c r="A438" s="102"/>
      <c r="B438" s="103"/>
      <c r="C438" s="103"/>
      <c r="D438" s="104"/>
      <c r="E438" s="61"/>
      <c r="G438" s="60"/>
      <c r="H438" s="62"/>
      <c r="I438" s="63"/>
      <c r="J438" s="62"/>
      <c r="X438" s="91"/>
      <c r="Y438" s="91"/>
      <c r="Z438" s="91"/>
      <c r="AA438" s="91"/>
      <c r="AB438" s="91"/>
      <c r="AC438" s="37"/>
    </row>
    <row r="439" spans="1:29">
      <c r="A439" s="102"/>
      <c r="B439" s="103"/>
      <c r="C439" s="103"/>
      <c r="D439" s="104"/>
      <c r="E439" s="61"/>
      <c r="G439" s="60"/>
      <c r="H439" s="62"/>
      <c r="I439" s="63"/>
      <c r="J439" s="62"/>
      <c r="X439" s="91"/>
      <c r="Y439" s="91"/>
      <c r="Z439" s="91"/>
      <c r="AA439" s="91"/>
      <c r="AB439" s="91"/>
      <c r="AC439" s="37"/>
    </row>
    <row r="440" spans="1:29">
      <c r="A440" s="102"/>
      <c r="B440" s="103"/>
      <c r="C440" s="103"/>
      <c r="D440" s="104"/>
      <c r="E440" s="61"/>
      <c r="G440" s="60"/>
      <c r="H440" s="62"/>
      <c r="I440" s="63"/>
      <c r="J440" s="62"/>
      <c r="X440" s="91"/>
      <c r="Y440" s="91"/>
      <c r="Z440" s="91"/>
      <c r="AA440" s="91"/>
      <c r="AB440" s="91"/>
      <c r="AC440" s="37"/>
    </row>
    <row r="441" spans="1:29">
      <c r="A441" s="102"/>
      <c r="B441" s="103"/>
      <c r="C441" s="103"/>
      <c r="D441" s="104"/>
      <c r="E441" s="61"/>
      <c r="G441" s="60"/>
      <c r="H441" s="62"/>
      <c r="I441" s="63"/>
      <c r="J441" s="62"/>
      <c r="X441" s="91"/>
      <c r="Y441" s="91"/>
      <c r="Z441" s="91"/>
      <c r="AA441" s="91"/>
      <c r="AB441" s="91"/>
      <c r="AC441" s="37"/>
    </row>
    <row r="442" spans="1:29">
      <c r="A442" s="102"/>
      <c r="B442" s="103"/>
      <c r="C442" s="103"/>
      <c r="D442" s="104"/>
      <c r="E442" s="61"/>
      <c r="G442" s="60"/>
      <c r="H442" s="62"/>
      <c r="I442" s="63"/>
      <c r="J442" s="62"/>
      <c r="X442" s="91"/>
      <c r="Y442" s="91"/>
      <c r="Z442" s="91"/>
      <c r="AA442" s="91"/>
      <c r="AB442" s="91"/>
      <c r="AC442" s="37"/>
    </row>
    <row r="443" spans="1:29">
      <c r="A443" s="102"/>
      <c r="B443" s="103"/>
      <c r="C443" s="103"/>
      <c r="D443" s="104"/>
      <c r="E443" s="61"/>
      <c r="G443" s="60"/>
      <c r="H443" s="62"/>
      <c r="I443" s="63"/>
      <c r="J443" s="62"/>
      <c r="X443" s="91"/>
      <c r="Y443" s="91"/>
      <c r="Z443" s="91"/>
      <c r="AA443" s="91"/>
      <c r="AB443" s="91"/>
      <c r="AC443" s="37"/>
    </row>
    <row r="444" spans="1:29">
      <c r="A444" s="102"/>
      <c r="B444" s="103"/>
      <c r="C444" s="103"/>
      <c r="D444" s="104"/>
      <c r="E444" s="61"/>
      <c r="G444" s="60"/>
      <c r="H444" s="62"/>
      <c r="I444" s="63"/>
      <c r="J444" s="62"/>
      <c r="X444" s="91"/>
      <c r="Y444" s="91"/>
      <c r="Z444" s="91"/>
      <c r="AA444" s="91"/>
      <c r="AB444" s="91"/>
      <c r="AC444" s="37"/>
    </row>
    <row r="445" spans="1:29">
      <c r="A445" s="102"/>
      <c r="B445" s="103"/>
      <c r="C445" s="103"/>
      <c r="D445" s="104"/>
      <c r="E445" s="61"/>
      <c r="G445" s="60"/>
      <c r="H445" s="62"/>
      <c r="I445" s="63"/>
      <c r="J445" s="62"/>
      <c r="X445" s="91"/>
      <c r="Y445" s="91"/>
      <c r="Z445" s="91"/>
      <c r="AA445" s="91"/>
      <c r="AB445" s="91"/>
      <c r="AC445" s="37"/>
    </row>
    <row r="446" spans="1:29">
      <c r="A446" s="102"/>
      <c r="B446" s="103"/>
      <c r="C446" s="103"/>
      <c r="D446" s="104"/>
      <c r="E446" s="61"/>
      <c r="G446" s="60"/>
      <c r="H446" s="62"/>
      <c r="I446" s="63"/>
      <c r="J446" s="62"/>
      <c r="X446" s="91"/>
      <c r="Y446" s="91"/>
      <c r="Z446" s="91"/>
      <c r="AA446" s="91"/>
      <c r="AB446" s="91"/>
      <c r="AC446" s="37"/>
    </row>
    <row r="447" spans="1:29">
      <c r="A447" s="102"/>
      <c r="B447" s="103"/>
      <c r="C447" s="103"/>
      <c r="D447" s="104"/>
      <c r="E447" s="61"/>
      <c r="G447" s="60"/>
      <c r="H447" s="62"/>
      <c r="I447" s="63"/>
      <c r="J447" s="62"/>
      <c r="X447" s="91"/>
      <c r="Y447" s="91"/>
      <c r="Z447" s="91"/>
      <c r="AA447" s="91"/>
      <c r="AB447" s="91"/>
      <c r="AC447" s="37"/>
    </row>
    <row r="448" spans="1:29">
      <c r="A448" s="102"/>
      <c r="B448" s="103"/>
      <c r="C448" s="103"/>
      <c r="D448" s="104"/>
      <c r="E448" s="61"/>
      <c r="G448" s="60"/>
      <c r="H448" s="62"/>
      <c r="I448" s="63"/>
      <c r="J448" s="62"/>
      <c r="X448" s="91"/>
      <c r="Y448" s="91"/>
      <c r="Z448" s="91"/>
      <c r="AA448" s="91"/>
      <c r="AB448" s="91"/>
      <c r="AC448" s="37"/>
    </row>
    <row r="449" spans="1:29">
      <c r="A449" s="102"/>
      <c r="B449" s="103"/>
      <c r="C449" s="103"/>
      <c r="D449" s="104"/>
      <c r="E449" s="61"/>
      <c r="G449" s="60"/>
      <c r="H449" s="62"/>
      <c r="I449" s="63"/>
      <c r="J449" s="62"/>
      <c r="X449" s="91"/>
      <c r="Y449" s="91"/>
      <c r="Z449" s="91"/>
      <c r="AA449" s="91"/>
      <c r="AB449" s="91"/>
      <c r="AC449" s="37"/>
    </row>
    <row r="450" spans="1:29">
      <c r="A450" s="102"/>
      <c r="B450" s="103"/>
      <c r="C450" s="103"/>
      <c r="D450" s="104"/>
      <c r="E450" s="61"/>
      <c r="G450" s="60"/>
      <c r="H450" s="62"/>
      <c r="I450" s="63"/>
      <c r="J450" s="62"/>
      <c r="X450" s="91"/>
      <c r="Y450" s="91"/>
      <c r="Z450" s="91"/>
      <c r="AA450" s="91"/>
      <c r="AB450" s="91"/>
      <c r="AC450" s="37"/>
    </row>
    <row r="451" spans="1:29">
      <c r="A451" s="102"/>
      <c r="B451" s="103"/>
      <c r="C451" s="103"/>
      <c r="D451" s="104"/>
      <c r="E451" s="61"/>
      <c r="G451" s="60"/>
      <c r="H451" s="62"/>
      <c r="I451" s="63"/>
      <c r="J451" s="62"/>
      <c r="X451" s="91"/>
      <c r="Y451" s="91"/>
      <c r="Z451" s="91"/>
      <c r="AA451" s="91"/>
      <c r="AB451" s="91"/>
      <c r="AC451" s="37"/>
    </row>
    <row r="452" spans="1:29">
      <c r="A452" s="102"/>
      <c r="B452" s="103"/>
      <c r="C452" s="103"/>
      <c r="D452" s="104"/>
      <c r="E452" s="61"/>
      <c r="G452" s="60"/>
      <c r="H452" s="62"/>
      <c r="I452" s="63"/>
      <c r="J452" s="62"/>
      <c r="X452" s="91"/>
      <c r="Y452" s="91"/>
      <c r="Z452" s="91"/>
      <c r="AA452" s="91"/>
      <c r="AB452" s="91"/>
      <c r="AC452" s="37"/>
    </row>
    <row r="453" spans="1:29">
      <c r="A453" s="102"/>
      <c r="B453" s="103"/>
      <c r="C453" s="103"/>
      <c r="D453" s="104"/>
      <c r="E453" s="61"/>
      <c r="G453" s="60"/>
      <c r="H453" s="62"/>
      <c r="I453" s="63"/>
      <c r="J453" s="62"/>
      <c r="X453" s="91"/>
      <c r="Y453" s="91"/>
      <c r="Z453" s="91"/>
      <c r="AA453" s="91"/>
      <c r="AB453" s="91"/>
      <c r="AC453" s="37"/>
    </row>
    <row r="454" spans="1:29">
      <c r="A454" s="102"/>
      <c r="B454" s="103"/>
      <c r="C454" s="103"/>
      <c r="D454" s="104"/>
      <c r="E454" s="61"/>
      <c r="G454" s="60"/>
      <c r="H454" s="62"/>
      <c r="I454" s="63"/>
      <c r="J454" s="62"/>
      <c r="X454" s="91"/>
      <c r="Y454" s="91"/>
      <c r="Z454" s="91"/>
      <c r="AA454" s="91"/>
      <c r="AB454" s="91"/>
      <c r="AC454" s="37"/>
    </row>
    <row r="455" spans="1:29">
      <c r="A455" s="102"/>
      <c r="B455" s="103"/>
      <c r="C455" s="103"/>
      <c r="D455" s="104"/>
      <c r="E455" s="61"/>
      <c r="G455" s="60"/>
      <c r="H455" s="62"/>
      <c r="I455" s="63"/>
      <c r="J455" s="62"/>
      <c r="X455" s="91"/>
      <c r="Y455" s="91"/>
      <c r="Z455" s="91"/>
      <c r="AA455" s="91"/>
      <c r="AB455" s="91"/>
      <c r="AC455" s="37"/>
    </row>
    <row r="456" spans="1:29">
      <c r="A456" s="102"/>
      <c r="B456" s="103"/>
      <c r="C456" s="103"/>
      <c r="D456" s="104"/>
      <c r="E456" s="61"/>
      <c r="G456" s="60"/>
      <c r="H456" s="62"/>
      <c r="I456" s="63"/>
      <c r="J456" s="62"/>
      <c r="X456" s="91"/>
      <c r="Y456" s="91"/>
      <c r="Z456" s="91"/>
      <c r="AA456" s="91"/>
      <c r="AB456" s="91"/>
      <c r="AC456" s="37"/>
    </row>
    <row r="457" spans="1:29">
      <c r="A457" s="102"/>
      <c r="B457" s="103"/>
      <c r="C457" s="103"/>
      <c r="D457" s="104"/>
      <c r="E457" s="61"/>
      <c r="G457" s="60"/>
      <c r="H457" s="62"/>
      <c r="I457" s="63"/>
      <c r="J457" s="62"/>
      <c r="X457" s="91"/>
      <c r="Y457" s="91"/>
      <c r="Z457" s="91"/>
      <c r="AA457" s="91"/>
      <c r="AB457" s="91"/>
      <c r="AC457" s="37"/>
    </row>
    <row r="458" spans="1:29">
      <c r="A458" s="102"/>
      <c r="B458" s="103"/>
      <c r="C458" s="103"/>
      <c r="D458" s="104"/>
      <c r="E458" s="61"/>
      <c r="G458" s="60"/>
      <c r="H458" s="62"/>
      <c r="I458" s="63"/>
      <c r="J458" s="62"/>
      <c r="X458" s="91"/>
      <c r="Y458" s="91"/>
      <c r="Z458" s="91"/>
      <c r="AA458" s="91"/>
      <c r="AB458" s="91"/>
      <c r="AC458" s="37"/>
    </row>
    <row r="459" spans="1:29">
      <c r="A459" s="102"/>
      <c r="B459" s="103"/>
      <c r="C459" s="103"/>
      <c r="D459" s="104"/>
      <c r="E459" s="61"/>
      <c r="G459" s="60"/>
      <c r="H459" s="62"/>
      <c r="I459" s="63"/>
      <c r="J459" s="62"/>
      <c r="X459" s="91"/>
      <c r="Y459" s="91"/>
      <c r="Z459" s="91"/>
      <c r="AA459" s="91"/>
      <c r="AB459" s="91"/>
      <c r="AC459" s="37"/>
    </row>
    <row r="460" spans="1:29">
      <c r="A460" s="102"/>
      <c r="B460" s="103"/>
      <c r="C460" s="103"/>
      <c r="D460" s="104"/>
      <c r="E460" s="61"/>
      <c r="G460" s="60"/>
      <c r="H460" s="62"/>
      <c r="I460" s="63"/>
      <c r="J460" s="62"/>
      <c r="X460" s="91"/>
      <c r="Y460" s="91"/>
      <c r="Z460" s="91"/>
      <c r="AA460" s="91"/>
      <c r="AB460" s="91"/>
      <c r="AC460" s="37"/>
    </row>
    <row r="461" spans="1:29">
      <c r="A461" s="102"/>
      <c r="B461" s="103"/>
      <c r="C461" s="103"/>
      <c r="D461" s="104"/>
      <c r="E461" s="61"/>
      <c r="G461" s="60"/>
      <c r="H461" s="62"/>
      <c r="I461" s="63"/>
      <c r="J461" s="62"/>
      <c r="X461" s="91"/>
      <c r="Y461" s="91"/>
      <c r="Z461" s="91"/>
      <c r="AA461" s="91"/>
      <c r="AB461" s="91"/>
      <c r="AC461" s="37"/>
    </row>
    <row r="462" spans="1:29">
      <c r="A462" s="102"/>
      <c r="B462" s="103"/>
      <c r="C462" s="103"/>
      <c r="D462" s="104"/>
      <c r="E462" s="61"/>
      <c r="G462" s="60"/>
      <c r="H462" s="62"/>
      <c r="I462" s="63"/>
      <c r="J462" s="62"/>
      <c r="X462" s="91"/>
      <c r="Y462" s="91"/>
      <c r="Z462" s="91"/>
      <c r="AA462" s="91"/>
      <c r="AB462" s="91"/>
      <c r="AC462" s="37"/>
    </row>
    <row r="463" spans="1:29">
      <c r="A463" s="102"/>
      <c r="B463" s="103"/>
      <c r="C463" s="103"/>
      <c r="D463" s="104"/>
      <c r="E463" s="61"/>
      <c r="G463" s="60"/>
      <c r="H463" s="62"/>
      <c r="I463" s="63"/>
      <c r="J463" s="62"/>
      <c r="X463" s="91"/>
      <c r="Y463" s="91"/>
      <c r="Z463" s="91"/>
      <c r="AA463" s="91"/>
      <c r="AB463" s="91"/>
      <c r="AC463" s="37"/>
    </row>
    <row r="464" spans="1:29">
      <c r="A464" s="102"/>
      <c r="B464" s="103"/>
      <c r="C464" s="103"/>
      <c r="D464" s="104"/>
      <c r="E464" s="61"/>
      <c r="G464" s="60"/>
      <c r="H464" s="62"/>
      <c r="I464" s="63"/>
      <c r="J464" s="62"/>
      <c r="X464" s="91"/>
      <c r="Y464" s="91"/>
      <c r="Z464" s="91"/>
      <c r="AA464" s="91"/>
      <c r="AB464" s="91"/>
      <c r="AC464" s="37"/>
    </row>
    <row r="465" spans="1:29">
      <c r="A465" s="102"/>
      <c r="B465" s="103"/>
      <c r="C465" s="103"/>
      <c r="D465" s="104"/>
      <c r="E465" s="61"/>
      <c r="G465" s="60"/>
      <c r="H465" s="62"/>
      <c r="I465" s="63"/>
      <c r="J465" s="62"/>
      <c r="X465" s="91"/>
      <c r="Y465" s="91"/>
      <c r="Z465" s="91"/>
      <c r="AA465" s="91"/>
      <c r="AB465" s="91"/>
      <c r="AC465" s="37"/>
    </row>
    <row r="466" spans="1:29">
      <c r="A466" s="102"/>
      <c r="B466" s="103"/>
      <c r="C466" s="103"/>
      <c r="D466" s="104"/>
      <c r="E466" s="61"/>
      <c r="G466" s="60"/>
      <c r="H466" s="62"/>
      <c r="I466" s="63"/>
      <c r="J466" s="62"/>
      <c r="X466" s="91"/>
      <c r="Y466" s="91"/>
      <c r="Z466" s="91"/>
      <c r="AA466" s="91"/>
      <c r="AB466" s="91"/>
      <c r="AC466" s="37"/>
    </row>
    <row r="467" spans="1:29">
      <c r="A467" s="102"/>
      <c r="B467" s="103"/>
      <c r="C467" s="103"/>
      <c r="D467" s="104"/>
      <c r="E467" s="61"/>
      <c r="G467" s="60"/>
      <c r="H467" s="62"/>
      <c r="I467" s="63"/>
      <c r="J467" s="62"/>
      <c r="X467" s="91"/>
      <c r="Y467" s="91"/>
      <c r="Z467" s="91"/>
      <c r="AA467" s="91"/>
      <c r="AB467" s="91"/>
      <c r="AC467" s="37"/>
    </row>
    <row r="468" spans="1:29">
      <c r="A468" s="102"/>
      <c r="B468" s="103"/>
      <c r="C468" s="103"/>
      <c r="D468" s="104"/>
      <c r="E468" s="61"/>
      <c r="G468" s="60"/>
      <c r="H468" s="62"/>
      <c r="I468" s="63"/>
      <c r="J468" s="62"/>
      <c r="X468" s="91"/>
      <c r="Y468" s="91"/>
      <c r="Z468" s="91"/>
      <c r="AA468" s="91"/>
      <c r="AB468" s="91"/>
      <c r="AC468" s="37"/>
    </row>
    <row r="469" spans="1:29">
      <c r="A469" s="102"/>
      <c r="B469" s="103"/>
      <c r="C469" s="103"/>
      <c r="D469" s="104"/>
      <c r="E469" s="61"/>
      <c r="G469" s="60"/>
      <c r="H469" s="62"/>
      <c r="I469" s="63"/>
      <c r="J469" s="62"/>
      <c r="X469" s="91"/>
      <c r="Y469" s="91"/>
      <c r="Z469" s="91"/>
      <c r="AA469" s="91"/>
      <c r="AB469" s="91"/>
      <c r="AC469" s="37"/>
    </row>
    <row r="470" spans="1:29">
      <c r="A470" s="102"/>
      <c r="B470" s="103"/>
      <c r="C470" s="103"/>
      <c r="D470" s="104"/>
      <c r="E470" s="61"/>
      <c r="G470" s="60"/>
      <c r="H470" s="62"/>
      <c r="I470" s="63"/>
      <c r="J470" s="62"/>
      <c r="X470" s="91"/>
      <c r="Y470" s="91"/>
      <c r="Z470" s="91"/>
      <c r="AA470" s="91"/>
      <c r="AB470" s="91"/>
      <c r="AC470" s="37"/>
    </row>
    <row r="471" spans="1:29">
      <c r="A471" s="102"/>
      <c r="B471" s="103"/>
      <c r="C471" s="103"/>
      <c r="D471" s="104"/>
      <c r="E471" s="61"/>
      <c r="G471" s="60"/>
      <c r="H471" s="62"/>
      <c r="I471" s="63"/>
      <c r="J471" s="62"/>
      <c r="X471" s="91"/>
      <c r="Y471" s="91"/>
      <c r="Z471" s="91"/>
      <c r="AA471" s="91"/>
      <c r="AB471" s="91"/>
      <c r="AC471" s="37"/>
    </row>
    <row r="472" spans="1:29">
      <c r="A472" s="102"/>
      <c r="B472" s="103"/>
      <c r="C472" s="103"/>
      <c r="D472" s="104"/>
      <c r="E472" s="61"/>
      <c r="G472" s="60"/>
      <c r="H472" s="62"/>
      <c r="I472" s="63"/>
      <c r="J472" s="62"/>
      <c r="X472" s="91"/>
      <c r="Y472" s="91"/>
      <c r="Z472" s="91"/>
      <c r="AA472" s="91"/>
      <c r="AB472" s="91"/>
      <c r="AC472" s="37"/>
    </row>
    <row r="473" spans="1:29">
      <c r="A473" s="102"/>
      <c r="B473" s="103"/>
      <c r="C473" s="103"/>
      <c r="D473" s="104"/>
      <c r="E473" s="61"/>
      <c r="G473" s="60"/>
      <c r="H473" s="62"/>
      <c r="I473" s="63"/>
      <c r="J473" s="62"/>
      <c r="X473" s="91"/>
      <c r="Y473" s="91"/>
      <c r="Z473" s="91"/>
      <c r="AA473" s="91"/>
      <c r="AB473" s="91"/>
      <c r="AC473" s="37"/>
    </row>
    <row r="474" spans="1:29">
      <c r="A474" s="102"/>
      <c r="B474" s="103"/>
      <c r="C474" s="103"/>
      <c r="D474" s="104"/>
      <c r="E474" s="61"/>
      <c r="G474" s="60"/>
      <c r="H474" s="62"/>
      <c r="I474" s="63"/>
      <c r="J474" s="62"/>
      <c r="X474" s="91"/>
      <c r="Y474" s="91"/>
      <c r="Z474" s="91"/>
      <c r="AA474" s="91"/>
      <c r="AB474" s="91"/>
      <c r="AC474" s="37"/>
    </row>
    <row r="475" spans="1:29">
      <c r="A475" s="102"/>
      <c r="B475" s="103"/>
      <c r="C475" s="103"/>
      <c r="D475" s="104"/>
      <c r="E475" s="61"/>
      <c r="G475" s="60"/>
      <c r="H475" s="62"/>
      <c r="I475" s="63"/>
      <c r="J475" s="62"/>
      <c r="X475" s="91"/>
      <c r="Y475" s="91"/>
      <c r="Z475" s="91"/>
      <c r="AA475" s="91"/>
      <c r="AB475" s="91"/>
      <c r="AC475" s="37"/>
    </row>
    <row r="476" spans="1:29">
      <c r="A476" s="102"/>
      <c r="B476" s="103"/>
      <c r="C476" s="103"/>
      <c r="D476" s="104"/>
      <c r="E476" s="61"/>
      <c r="G476" s="60"/>
      <c r="H476" s="62"/>
      <c r="I476" s="63"/>
      <c r="J476" s="62"/>
      <c r="X476" s="91"/>
      <c r="Y476" s="91"/>
      <c r="Z476" s="91"/>
      <c r="AA476" s="91"/>
      <c r="AB476" s="91"/>
      <c r="AC476" s="37"/>
    </row>
    <row r="477" spans="1:29">
      <c r="A477" s="102"/>
      <c r="B477" s="103"/>
      <c r="C477" s="103"/>
      <c r="D477" s="104"/>
      <c r="E477" s="61"/>
      <c r="G477" s="60"/>
      <c r="H477" s="62"/>
      <c r="I477" s="63"/>
      <c r="J477" s="62"/>
      <c r="X477" s="91"/>
      <c r="Y477" s="91"/>
      <c r="Z477" s="91"/>
      <c r="AA477" s="91"/>
      <c r="AB477" s="91"/>
      <c r="AC477" s="37"/>
    </row>
    <row r="478" spans="1:29">
      <c r="A478" s="102"/>
      <c r="B478" s="103"/>
      <c r="C478" s="103"/>
      <c r="D478" s="104"/>
      <c r="E478" s="61"/>
      <c r="G478" s="60"/>
      <c r="H478" s="62"/>
      <c r="I478" s="63"/>
      <c r="J478" s="62"/>
      <c r="X478" s="91"/>
      <c r="Y478" s="91"/>
      <c r="Z478" s="91"/>
      <c r="AA478" s="91"/>
      <c r="AB478" s="91"/>
      <c r="AC478" s="37"/>
    </row>
    <row r="479" spans="1:29">
      <c r="A479" s="102"/>
      <c r="B479" s="103"/>
      <c r="C479" s="103"/>
      <c r="D479" s="104"/>
      <c r="E479" s="61"/>
      <c r="G479" s="60"/>
      <c r="H479" s="62"/>
      <c r="I479" s="63"/>
      <c r="J479" s="62"/>
      <c r="X479" s="91"/>
      <c r="Y479" s="91"/>
      <c r="Z479" s="91"/>
      <c r="AA479" s="91"/>
      <c r="AB479" s="91"/>
      <c r="AC479" s="37"/>
    </row>
    <row r="480" spans="1:29">
      <c r="A480" s="102"/>
      <c r="B480" s="103"/>
      <c r="C480" s="103"/>
      <c r="D480" s="104"/>
      <c r="E480" s="61"/>
      <c r="G480" s="60"/>
      <c r="H480" s="62"/>
      <c r="I480" s="63"/>
      <c r="J480" s="62"/>
      <c r="X480" s="91"/>
      <c r="Y480" s="91"/>
      <c r="Z480" s="91"/>
      <c r="AA480" s="91"/>
      <c r="AB480" s="91"/>
      <c r="AC480" s="37"/>
    </row>
    <row r="481" spans="1:29">
      <c r="A481" s="102"/>
      <c r="B481" s="103"/>
      <c r="C481" s="103"/>
      <c r="D481" s="104"/>
      <c r="E481" s="61"/>
      <c r="G481" s="60"/>
      <c r="H481" s="62"/>
      <c r="I481" s="63"/>
      <c r="J481" s="62"/>
      <c r="X481" s="91"/>
      <c r="Y481" s="91"/>
      <c r="Z481" s="91"/>
      <c r="AA481" s="91"/>
      <c r="AB481" s="91"/>
      <c r="AC481" s="37"/>
    </row>
    <row r="482" spans="1:29">
      <c r="A482" s="102"/>
      <c r="B482" s="103"/>
      <c r="C482" s="103"/>
      <c r="D482" s="104"/>
      <c r="E482" s="61"/>
      <c r="G482" s="60"/>
      <c r="H482" s="62"/>
      <c r="I482" s="63"/>
      <c r="J482" s="62"/>
      <c r="X482" s="91"/>
      <c r="Y482" s="91"/>
      <c r="Z482" s="91"/>
      <c r="AA482" s="91"/>
      <c r="AB482" s="91"/>
      <c r="AC482" s="37"/>
    </row>
    <row r="483" spans="1:29">
      <c r="A483" s="102"/>
      <c r="B483" s="103"/>
      <c r="C483" s="103"/>
      <c r="D483" s="104"/>
      <c r="E483" s="61"/>
      <c r="G483" s="60"/>
      <c r="H483" s="62"/>
      <c r="I483" s="63"/>
      <c r="J483" s="62"/>
      <c r="X483" s="91"/>
      <c r="Y483" s="91"/>
      <c r="Z483" s="91"/>
      <c r="AA483" s="91"/>
      <c r="AB483" s="91"/>
      <c r="AC483" s="37"/>
    </row>
    <row r="484" spans="1:29">
      <c r="A484" s="102"/>
      <c r="B484" s="103"/>
      <c r="C484" s="103"/>
      <c r="D484" s="104"/>
      <c r="E484" s="61"/>
      <c r="G484" s="60"/>
      <c r="H484" s="62"/>
      <c r="I484" s="63"/>
      <c r="J484" s="62"/>
      <c r="X484" s="91"/>
      <c r="Y484" s="91"/>
      <c r="Z484" s="91"/>
      <c r="AA484" s="91"/>
      <c r="AB484" s="91"/>
      <c r="AC484" s="37"/>
    </row>
    <row r="485" spans="1:29">
      <c r="A485" s="102"/>
      <c r="B485" s="103"/>
      <c r="C485" s="103"/>
      <c r="D485" s="104"/>
      <c r="E485" s="61"/>
      <c r="G485" s="60"/>
      <c r="H485" s="62"/>
      <c r="I485" s="63"/>
      <c r="J485" s="62"/>
      <c r="X485" s="91"/>
      <c r="Y485" s="91"/>
      <c r="Z485" s="91"/>
      <c r="AA485" s="91"/>
      <c r="AB485" s="91"/>
      <c r="AC485" s="37"/>
    </row>
    <row r="486" spans="1:29">
      <c r="A486" s="102"/>
      <c r="B486" s="103"/>
      <c r="C486" s="103"/>
      <c r="D486" s="104"/>
      <c r="E486" s="61"/>
      <c r="G486" s="60"/>
      <c r="H486" s="62"/>
      <c r="I486" s="63"/>
      <c r="J486" s="62"/>
      <c r="X486" s="91"/>
      <c r="Y486" s="91"/>
      <c r="Z486" s="91"/>
      <c r="AA486" s="91"/>
      <c r="AB486" s="91"/>
      <c r="AC486" s="37"/>
    </row>
    <row r="487" spans="1:29">
      <c r="A487" s="102"/>
      <c r="B487" s="103"/>
      <c r="C487" s="103"/>
      <c r="D487" s="104"/>
      <c r="E487" s="61"/>
      <c r="G487" s="60"/>
      <c r="H487" s="62"/>
      <c r="I487" s="63"/>
      <c r="J487" s="62"/>
      <c r="X487" s="91"/>
      <c r="Y487" s="91"/>
      <c r="Z487" s="91"/>
      <c r="AA487" s="91"/>
      <c r="AB487" s="91"/>
      <c r="AC487" s="37"/>
    </row>
    <row r="488" spans="1:29">
      <c r="A488" s="102"/>
      <c r="B488" s="103"/>
      <c r="C488" s="103"/>
      <c r="D488" s="104"/>
      <c r="E488" s="61"/>
      <c r="G488" s="60"/>
      <c r="H488" s="62"/>
      <c r="I488" s="63"/>
      <c r="J488" s="62"/>
      <c r="X488" s="91"/>
      <c r="Y488" s="91"/>
      <c r="Z488" s="91"/>
      <c r="AA488" s="91"/>
      <c r="AB488" s="91"/>
      <c r="AC488" s="37"/>
    </row>
    <row r="489" spans="1:29">
      <c r="A489" s="102"/>
      <c r="B489" s="103"/>
      <c r="C489" s="103"/>
      <c r="D489" s="104"/>
      <c r="E489" s="61"/>
      <c r="G489" s="60"/>
      <c r="H489" s="62"/>
      <c r="I489" s="63"/>
      <c r="J489" s="62"/>
      <c r="X489" s="91"/>
      <c r="Y489" s="91"/>
      <c r="Z489" s="91"/>
      <c r="AA489" s="91"/>
      <c r="AB489" s="91"/>
      <c r="AC489" s="37"/>
    </row>
    <row r="490" spans="1:29">
      <c r="A490" s="102"/>
      <c r="B490" s="103"/>
      <c r="C490" s="103"/>
      <c r="D490" s="104"/>
      <c r="E490" s="61"/>
      <c r="G490" s="60"/>
      <c r="H490" s="62"/>
      <c r="I490" s="63"/>
      <c r="J490" s="62"/>
      <c r="X490" s="91"/>
      <c r="Y490" s="91"/>
      <c r="Z490" s="91"/>
      <c r="AA490" s="91"/>
      <c r="AB490" s="91"/>
      <c r="AC490" s="37"/>
    </row>
    <row r="491" spans="1:29">
      <c r="A491" s="102"/>
      <c r="B491" s="103"/>
      <c r="C491" s="103"/>
      <c r="D491" s="104"/>
      <c r="E491" s="61"/>
      <c r="G491" s="60"/>
      <c r="H491" s="62"/>
      <c r="I491" s="63"/>
      <c r="J491" s="62"/>
      <c r="X491" s="91"/>
      <c r="Y491" s="91"/>
      <c r="Z491" s="91"/>
      <c r="AA491" s="91"/>
      <c r="AB491" s="91"/>
      <c r="AC491" s="37"/>
    </row>
    <row r="492" spans="1:29">
      <c r="A492" s="102"/>
      <c r="B492" s="103"/>
      <c r="C492" s="103"/>
      <c r="D492" s="104"/>
      <c r="E492" s="61"/>
      <c r="G492" s="60"/>
      <c r="H492" s="62"/>
      <c r="I492" s="63"/>
      <c r="J492" s="62"/>
      <c r="X492" s="91"/>
      <c r="Y492" s="91"/>
      <c r="Z492" s="91"/>
      <c r="AA492" s="91"/>
      <c r="AB492" s="91"/>
      <c r="AC492" s="37"/>
    </row>
    <row r="493" spans="1:29">
      <c r="A493" s="102"/>
      <c r="B493" s="103"/>
      <c r="C493" s="103"/>
      <c r="D493" s="104"/>
      <c r="E493" s="61"/>
      <c r="G493" s="60"/>
      <c r="H493" s="62"/>
      <c r="I493" s="63"/>
      <c r="J493" s="62"/>
      <c r="X493" s="91"/>
      <c r="Y493" s="91"/>
      <c r="Z493" s="91"/>
      <c r="AA493" s="91"/>
      <c r="AB493" s="91"/>
      <c r="AC493" s="37"/>
    </row>
    <row r="494" spans="1:29">
      <c r="A494" s="102"/>
      <c r="B494" s="103"/>
      <c r="C494" s="103"/>
      <c r="D494" s="104"/>
      <c r="E494" s="61"/>
      <c r="G494" s="60"/>
      <c r="H494" s="62"/>
      <c r="I494" s="63"/>
      <c r="J494" s="62"/>
      <c r="X494" s="91"/>
      <c r="Y494" s="91"/>
      <c r="Z494" s="91"/>
      <c r="AA494" s="91"/>
      <c r="AB494" s="91"/>
      <c r="AC494" s="37"/>
    </row>
    <row r="495" spans="1:29">
      <c r="A495" s="102"/>
      <c r="B495" s="103"/>
      <c r="C495" s="103"/>
      <c r="D495" s="104"/>
      <c r="E495" s="61"/>
      <c r="G495" s="60"/>
      <c r="H495" s="62"/>
      <c r="I495" s="63"/>
      <c r="J495" s="62"/>
      <c r="X495" s="91"/>
      <c r="Y495" s="91"/>
      <c r="Z495" s="91"/>
      <c r="AA495" s="91"/>
      <c r="AB495" s="91"/>
      <c r="AC495" s="37"/>
    </row>
    <row r="496" spans="1:29">
      <c r="A496" s="102"/>
      <c r="B496" s="103"/>
      <c r="C496" s="103"/>
      <c r="D496" s="104"/>
      <c r="E496" s="61"/>
      <c r="G496" s="60"/>
      <c r="H496" s="62"/>
      <c r="I496" s="63"/>
      <c r="J496" s="62"/>
      <c r="X496" s="91"/>
      <c r="Y496" s="91"/>
      <c r="Z496" s="91"/>
      <c r="AA496" s="91"/>
      <c r="AB496" s="91"/>
      <c r="AC496" s="37"/>
    </row>
    <row r="497" spans="1:29">
      <c r="A497" s="102"/>
      <c r="B497" s="103"/>
      <c r="C497" s="103"/>
      <c r="D497" s="104"/>
      <c r="E497" s="61"/>
      <c r="G497" s="60"/>
      <c r="H497" s="62"/>
      <c r="I497" s="63"/>
      <c r="J497" s="62"/>
      <c r="X497" s="91"/>
      <c r="Y497" s="91"/>
      <c r="Z497" s="91"/>
      <c r="AA497" s="91"/>
      <c r="AB497" s="91"/>
      <c r="AC497" s="37"/>
    </row>
    <row r="498" spans="1:29">
      <c r="A498" s="102"/>
      <c r="B498" s="103"/>
      <c r="C498" s="103"/>
      <c r="D498" s="104"/>
      <c r="E498" s="61"/>
      <c r="G498" s="60"/>
      <c r="H498" s="62"/>
      <c r="I498" s="63"/>
      <c r="J498" s="62"/>
      <c r="X498" s="91"/>
      <c r="Y498" s="91"/>
      <c r="Z498" s="91"/>
      <c r="AA498" s="91"/>
      <c r="AB498" s="91"/>
      <c r="AC498" s="37"/>
    </row>
    <row r="499" spans="1:29">
      <c r="A499" s="102"/>
      <c r="B499" s="103"/>
      <c r="C499" s="103"/>
      <c r="D499" s="104"/>
      <c r="E499" s="61"/>
      <c r="G499" s="60"/>
      <c r="H499" s="62"/>
      <c r="I499" s="63"/>
      <c r="J499" s="62"/>
      <c r="X499" s="91"/>
      <c r="Y499" s="91"/>
      <c r="Z499" s="91"/>
      <c r="AA499" s="91"/>
      <c r="AB499" s="91"/>
      <c r="AC499" s="37"/>
    </row>
    <row r="500" spans="1:29">
      <c r="A500" s="102"/>
      <c r="B500" s="103"/>
      <c r="C500" s="103"/>
      <c r="D500" s="104"/>
      <c r="E500" s="61"/>
      <c r="G500" s="60"/>
      <c r="H500" s="62"/>
      <c r="I500" s="63"/>
      <c r="J500" s="62"/>
      <c r="X500" s="91"/>
      <c r="Y500" s="91"/>
      <c r="Z500" s="91"/>
      <c r="AA500" s="91"/>
      <c r="AB500" s="91"/>
      <c r="AC500" s="37"/>
    </row>
    <row r="501" spans="1:29">
      <c r="A501" s="102"/>
      <c r="B501" s="103"/>
      <c r="C501" s="103"/>
      <c r="D501" s="104"/>
      <c r="E501" s="61"/>
      <c r="G501" s="60"/>
      <c r="H501" s="62"/>
      <c r="I501" s="63"/>
      <c r="J501" s="62"/>
      <c r="X501" s="91"/>
      <c r="Y501" s="91"/>
      <c r="Z501" s="91"/>
      <c r="AA501" s="91"/>
      <c r="AB501" s="91"/>
      <c r="AC501" s="37"/>
    </row>
    <row r="502" spans="1:29">
      <c r="A502" s="102"/>
      <c r="B502" s="103"/>
      <c r="C502" s="103"/>
      <c r="D502" s="104"/>
      <c r="E502" s="61"/>
      <c r="G502" s="60"/>
      <c r="H502" s="62"/>
      <c r="I502" s="63"/>
      <c r="J502" s="62"/>
      <c r="X502" s="91"/>
      <c r="Y502" s="91"/>
      <c r="Z502" s="91"/>
      <c r="AA502" s="91"/>
      <c r="AB502" s="91"/>
      <c r="AC502" s="37"/>
    </row>
    <row r="503" spans="1:29">
      <c r="A503" s="102"/>
      <c r="B503" s="103"/>
      <c r="C503" s="103"/>
      <c r="D503" s="104"/>
      <c r="E503" s="61"/>
      <c r="G503" s="60"/>
      <c r="H503" s="62"/>
      <c r="I503" s="63"/>
      <c r="J503" s="62"/>
      <c r="X503" s="91"/>
      <c r="Y503" s="91"/>
      <c r="Z503" s="91"/>
      <c r="AA503" s="91"/>
      <c r="AB503" s="91"/>
      <c r="AC503" s="37"/>
    </row>
    <row r="504" spans="1:29">
      <c r="A504" s="102"/>
      <c r="B504" s="103"/>
      <c r="C504" s="103"/>
      <c r="D504" s="104"/>
      <c r="E504" s="61"/>
      <c r="G504" s="60"/>
      <c r="H504" s="62"/>
      <c r="I504" s="63"/>
      <c r="J504" s="62"/>
      <c r="X504" s="91"/>
      <c r="Y504" s="91"/>
      <c r="Z504" s="91"/>
      <c r="AA504" s="91"/>
      <c r="AB504" s="91"/>
      <c r="AC504" s="37"/>
    </row>
    <row r="505" spans="1:29">
      <c r="A505" s="102"/>
      <c r="B505" s="103"/>
      <c r="C505" s="103"/>
      <c r="D505" s="104"/>
      <c r="E505" s="61"/>
      <c r="G505" s="60"/>
      <c r="H505" s="62"/>
      <c r="I505" s="63"/>
      <c r="J505" s="62"/>
      <c r="X505" s="91"/>
      <c r="Y505" s="91"/>
      <c r="Z505" s="91"/>
      <c r="AA505" s="91"/>
      <c r="AB505" s="91"/>
      <c r="AC505" s="37"/>
    </row>
    <row r="506" spans="1:29">
      <c r="A506" s="102"/>
      <c r="B506" s="103"/>
      <c r="C506" s="103"/>
      <c r="D506" s="104"/>
      <c r="E506" s="61"/>
      <c r="G506" s="60"/>
      <c r="H506" s="62"/>
      <c r="I506" s="63"/>
      <c r="J506" s="62"/>
      <c r="X506" s="91"/>
      <c r="Y506" s="91"/>
      <c r="Z506" s="91"/>
      <c r="AA506" s="91"/>
      <c r="AB506" s="91"/>
      <c r="AC506" s="37"/>
    </row>
    <row r="507" spans="1:29">
      <c r="A507" s="102"/>
      <c r="B507" s="103"/>
      <c r="C507" s="103"/>
      <c r="D507" s="104"/>
      <c r="E507" s="61"/>
      <c r="G507" s="60"/>
      <c r="H507" s="62"/>
      <c r="I507" s="63"/>
      <c r="J507" s="62"/>
      <c r="X507" s="91"/>
      <c r="Y507" s="91"/>
      <c r="Z507" s="91"/>
      <c r="AA507" s="91"/>
      <c r="AB507" s="91"/>
      <c r="AC507" s="37"/>
    </row>
    <row r="508" spans="1:29">
      <c r="A508" s="102"/>
      <c r="B508" s="103"/>
      <c r="C508" s="103"/>
      <c r="D508" s="104"/>
      <c r="E508" s="61"/>
      <c r="G508" s="60"/>
      <c r="H508" s="62"/>
      <c r="I508" s="63"/>
      <c r="J508" s="62"/>
      <c r="X508" s="91"/>
      <c r="Y508" s="91"/>
      <c r="Z508" s="91"/>
      <c r="AA508" s="91"/>
      <c r="AB508" s="91"/>
      <c r="AC508" s="37"/>
    </row>
    <row r="509" spans="1:29">
      <c r="A509" s="102"/>
      <c r="B509" s="103"/>
      <c r="C509" s="103"/>
      <c r="D509" s="104"/>
      <c r="E509" s="61"/>
      <c r="G509" s="60"/>
      <c r="H509" s="62"/>
      <c r="I509" s="63"/>
      <c r="J509" s="62"/>
      <c r="X509" s="91"/>
      <c r="Y509" s="91"/>
      <c r="Z509" s="91"/>
      <c r="AA509" s="91"/>
      <c r="AB509" s="91"/>
      <c r="AC509" s="37"/>
    </row>
    <row r="510" spans="1:29">
      <c r="A510" s="102"/>
      <c r="B510" s="103"/>
      <c r="C510" s="103"/>
      <c r="D510" s="104"/>
      <c r="E510" s="61"/>
      <c r="G510" s="60"/>
      <c r="H510" s="62"/>
      <c r="I510" s="63"/>
      <c r="J510" s="62"/>
      <c r="X510" s="91"/>
      <c r="Y510" s="91"/>
      <c r="Z510" s="91"/>
      <c r="AA510" s="91"/>
      <c r="AB510" s="91"/>
      <c r="AC510" s="37"/>
    </row>
    <row r="511" spans="1:29">
      <c r="A511" s="102"/>
      <c r="B511" s="103"/>
      <c r="C511" s="103"/>
      <c r="D511" s="104"/>
      <c r="E511" s="61"/>
      <c r="G511" s="60"/>
      <c r="H511" s="62"/>
      <c r="I511" s="63"/>
      <c r="J511" s="62"/>
      <c r="X511" s="91"/>
      <c r="Y511" s="91"/>
      <c r="Z511" s="91"/>
      <c r="AA511" s="91"/>
      <c r="AB511" s="91"/>
      <c r="AC511" s="37"/>
    </row>
    <row r="512" spans="1:29">
      <c r="A512" s="102"/>
      <c r="B512" s="103"/>
      <c r="C512" s="103"/>
      <c r="D512" s="104"/>
      <c r="E512" s="61"/>
      <c r="G512" s="60"/>
      <c r="H512" s="62"/>
      <c r="I512" s="63"/>
      <c r="J512" s="62"/>
      <c r="X512" s="91"/>
      <c r="Y512" s="91"/>
      <c r="Z512" s="91"/>
      <c r="AA512" s="91"/>
      <c r="AB512" s="91"/>
      <c r="AC512" s="37"/>
    </row>
    <row r="513" spans="1:29">
      <c r="A513" s="102"/>
      <c r="B513" s="103"/>
      <c r="C513" s="103"/>
      <c r="D513" s="104"/>
      <c r="E513" s="61"/>
      <c r="G513" s="60"/>
      <c r="H513" s="62"/>
      <c r="I513" s="63"/>
      <c r="J513" s="62"/>
      <c r="X513" s="91"/>
      <c r="Y513" s="91"/>
      <c r="Z513" s="91"/>
      <c r="AA513" s="91"/>
      <c r="AB513" s="91"/>
      <c r="AC513" s="37"/>
    </row>
    <row r="514" spans="1:29">
      <c r="A514" s="102"/>
      <c r="B514" s="103"/>
      <c r="C514" s="103"/>
      <c r="D514" s="104"/>
      <c r="E514" s="61"/>
      <c r="G514" s="60"/>
      <c r="H514" s="62"/>
      <c r="I514" s="63"/>
      <c r="J514" s="62"/>
      <c r="X514" s="91"/>
      <c r="Y514" s="91"/>
      <c r="Z514" s="91"/>
      <c r="AA514" s="91"/>
      <c r="AB514" s="91"/>
      <c r="AC514" s="37"/>
    </row>
    <row r="515" spans="1:29">
      <c r="A515" s="102"/>
      <c r="B515" s="103"/>
      <c r="C515" s="103"/>
      <c r="D515" s="104"/>
      <c r="E515" s="61"/>
      <c r="G515" s="60"/>
      <c r="H515" s="62"/>
      <c r="I515" s="63"/>
      <c r="J515" s="62"/>
      <c r="X515" s="91"/>
      <c r="Y515" s="91"/>
      <c r="Z515" s="91"/>
      <c r="AA515" s="91"/>
      <c r="AB515" s="91"/>
      <c r="AC515" s="37"/>
    </row>
    <row r="516" spans="1:29">
      <c r="A516" s="102"/>
      <c r="B516" s="103"/>
      <c r="C516" s="103"/>
      <c r="D516" s="104"/>
      <c r="E516" s="61"/>
      <c r="G516" s="60"/>
      <c r="H516" s="62"/>
      <c r="I516" s="63"/>
      <c r="J516" s="62"/>
      <c r="X516" s="91"/>
      <c r="Y516" s="91"/>
      <c r="Z516" s="91"/>
      <c r="AA516" s="91"/>
      <c r="AB516" s="91"/>
      <c r="AC516" s="37"/>
    </row>
    <row r="517" spans="1:29">
      <c r="A517" s="102"/>
      <c r="B517" s="103"/>
      <c r="C517" s="103"/>
      <c r="D517" s="104"/>
      <c r="E517" s="61"/>
      <c r="G517" s="60"/>
      <c r="H517" s="62"/>
      <c r="I517" s="63"/>
      <c r="J517" s="62"/>
      <c r="X517" s="91"/>
      <c r="Y517" s="91"/>
      <c r="Z517" s="91"/>
      <c r="AA517" s="91"/>
      <c r="AB517" s="91"/>
      <c r="AC517" s="37"/>
    </row>
    <row r="518" spans="1:29">
      <c r="A518" s="102"/>
      <c r="B518" s="103"/>
      <c r="C518" s="103"/>
      <c r="D518" s="104"/>
      <c r="E518" s="61"/>
      <c r="G518" s="60"/>
      <c r="H518" s="62"/>
      <c r="I518" s="63"/>
      <c r="J518" s="62"/>
      <c r="X518" s="91"/>
      <c r="Y518" s="91"/>
      <c r="Z518" s="91"/>
      <c r="AA518" s="91"/>
      <c r="AB518" s="91"/>
      <c r="AC518" s="37"/>
    </row>
    <row r="519" spans="1:29">
      <c r="A519" s="102"/>
      <c r="B519" s="103"/>
      <c r="C519" s="103"/>
      <c r="D519" s="104"/>
      <c r="E519" s="61"/>
      <c r="G519" s="60"/>
      <c r="H519" s="62"/>
      <c r="I519" s="63"/>
      <c r="J519" s="62"/>
      <c r="X519" s="91"/>
      <c r="Y519" s="91"/>
      <c r="Z519" s="91"/>
      <c r="AA519" s="91"/>
      <c r="AB519" s="91"/>
      <c r="AC519" s="37"/>
    </row>
    <row r="520" spans="1:29">
      <c r="A520" s="102"/>
      <c r="B520" s="103"/>
      <c r="C520" s="103"/>
      <c r="D520" s="104"/>
      <c r="E520" s="61"/>
      <c r="G520" s="60"/>
      <c r="H520" s="62"/>
      <c r="I520" s="63"/>
      <c r="J520" s="62"/>
      <c r="X520" s="91"/>
      <c r="Y520" s="91"/>
      <c r="Z520" s="91"/>
      <c r="AA520" s="91"/>
      <c r="AB520" s="91"/>
      <c r="AC520" s="37"/>
    </row>
    <row r="521" spans="1:29">
      <c r="A521" s="102"/>
      <c r="B521" s="103"/>
      <c r="C521" s="103"/>
      <c r="D521" s="104"/>
      <c r="E521" s="61"/>
      <c r="G521" s="60"/>
      <c r="H521" s="62"/>
      <c r="I521" s="63"/>
      <c r="J521" s="62"/>
      <c r="X521" s="91"/>
      <c r="Y521" s="91"/>
      <c r="Z521" s="91"/>
      <c r="AA521" s="91"/>
      <c r="AB521" s="91"/>
      <c r="AC521" s="37"/>
    </row>
    <row r="522" spans="1:29">
      <c r="A522" s="102"/>
      <c r="B522" s="103"/>
      <c r="C522" s="103"/>
      <c r="D522" s="104"/>
      <c r="E522" s="61"/>
      <c r="G522" s="60"/>
      <c r="H522" s="62"/>
      <c r="I522" s="63"/>
      <c r="J522" s="62"/>
      <c r="X522" s="91"/>
      <c r="Y522" s="91"/>
      <c r="Z522" s="91"/>
      <c r="AA522" s="91"/>
      <c r="AB522" s="91"/>
      <c r="AC522" s="37"/>
    </row>
    <row r="523" spans="1:29">
      <c r="A523" s="102"/>
      <c r="B523" s="103"/>
      <c r="C523" s="103"/>
      <c r="D523" s="104"/>
      <c r="E523" s="61"/>
      <c r="G523" s="60"/>
      <c r="H523" s="62"/>
      <c r="I523" s="63"/>
      <c r="J523" s="62"/>
      <c r="X523" s="91"/>
      <c r="Y523" s="91"/>
      <c r="Z523" s="91"/>
      <c r="AA523" s="91"/>
      <c r="AB523" s="91"/>
      <c r="AC523" s="37"/>
    </row>
    <row r="524" spans="1:29">
      <c r="A524" s="102"/>
      <c r="B524" s="103"/>
      <c r="C524" s="103"/>
      <c r="D524" s="104"/>
      <c r="E524" s="61"/>
      <c r="G524" s="60"/>
      <c r="H524" s="62"/>
      <c r="I524" s="63"/>
      <c r="J524" s="62"/>
      <c r="X524" s="91"/>
      <c r="Y524" s="91"/>
      <c r="Z524" s="91"/>
      <c r="AA524" s="91"/>
      <c r="AB524" s="91"/>
      <c r="AC524" s="37"/>
    </row>
    <row r="525" spans="1:29">
      <c r="A525" s="102"/>
      <c r="B525" s="103"/>
      <c r="C525" s="103"/>
      <c r="D525" s="104"/>
      <c r="E525" s="61"/>
      <c r="G525" s="60"/>
      <c r="H525" s="62"/>
      <c r="I525" s="63"/>
      <c r="J525" s="62"/>
      <c r="X525" s="91"/>
      <c r="Y525" s="91"/>
      <c r="Z525" s="91"/>
      <c r="AA525" s="91"/>
      <c r="AB525" s="91"/>
      <c r="AC525" s="37"/>
    </row>
    <row r="526" spans="1:29">
      <c r="A526" s="102"/>
      <c r="B526" s="103"/>
      <c r="C526" s="103"/>
      <c r="D526" s="104"/>
      <c r="E526" s="61"/>
      <c r="G526" s="60"/>
      <c r="H526" s="62"/>
      <c r="I526" s="63"/>
      <c r="J526" s="62"/>
      <c r="X526" s="91"/>
      <c r="Y526" s="91"/>
      <c r="Z526" s="91"/>
      <c r="AA526" s="91"/>
      <c r="AB526" s="91"/>
      <c r="AC526" s="37"/>
    </row>
    <row r="527" spans="1:29">
      <c r="A527" s="102"/>
      <c r="B527" s="103"/>
      <c r="C527" s="103"/>
      <c r="D527" s="104"/>
      <c r="E527" s="61"/>
      <c r="G527" s="60"/>
      <c r="H527" s="62"/>
      <c r="I527" s="63"/>
      <c r="J527" s="62"/>
      <c r="X527" s="91"/>
      <c r="Y527" s="91"/>
      <c r="Z527" s="91"/>
      <c r="AA527" s="91"/>
      <c r="AB527" s="91"/>
      <c r="AC527" s="37"/>
    </row>
    <row r="528" spans="1:29">
      <c r="A528" s="102"/>
      <c r="B528" s="103"/>
      <c r="C528" s="103"/>
      <c r="D528" s="104"/>
      <c r="E528" s="61"/>
      <c r="G528" s="60"/>
      <c r="H528" s="62"/>
      <c r="I528" s="63"/>
      <c r="J528" s="62"/>
      <c r="X528" s="91"/>
      <c r="Y528" s="91"/>
      <c r="Z528" s="91"/>
      <c r="AA528" s="91"/>
      <c r="AB528" s="91"/>
      <c r="AC528" s="37"/>
    </row>
    <row r="529" spans="1:29">
      <c r="A529" s="102"/>
      <c r="B529" s="103"/>
      <c r="C529" s="103"/>
      <c r="D529" s="104"/>
      <c r="E529" s="61"/>
      <c r="G529" s="60"/>
      <c r="H529" s="62"/>
      <c r="I529" s="63"/>
      <c r="J529" s="62"/>
      <c r="X529" s="91"/>
      <c r="Y529" s="91"/>
      <c r="Z529" s="91"/>
      <c r="AA529" s="91"/>
      <c r="AB529" s="91"/>
      <c r="AC529" s="37"/>
    </row>
    <row r="530" spans="1:29">
      <c r="A530" s="102"/>
      <c r="B530" s="103"/>
      <c r="C530" s="103"/>
      <c r="D530" s="104"/>
      <c r="E530" s="61"/>
      <c r="G530" s="60"/>
      <c r="H530" s="62"/>
      <c r="I530" s="63"/>
      <c r="J530" s="62"/>
      <c r="X530" s="91"/>
      <c r="Y530" s="91"/>
      <c r="Z530" s="91"/>
      <c r="AA530" s="91"/>
      <c r="AB530" s="91"/>
      <c r="AC530" s="37"/>
    </row>
    <row r="531" spans="1:29">
      <c r="A531" s="102"/>
      <c r="B531" s="103"/>
      <c r="C531" s="103"/>
      <c r="D531" s="104"/>
      <c r="E531" s="61"/>
      <c r="G531" s="60"/>
      <c r="H531" s="62"/>
      <c r="I531" s="63"/>
      <c r="J531" s="62"/>
      <c r="X531" s="91"/>
      <c r="Y531" s="91"/>
      <c r="Z531" s="91"/>
      <c r="AA531" s="91"/>
      <c r="AB531" s="91"/>
      <c r="AC531" s="37"/>
    </row>
    <row r="532" spans="1:29">
      <c r="A532" s="102"/>
      <c r="B532" s="103"/>
      <c r="C532" s="103"/>
      <c r="D532" s="104"/>
      <c r="E532" s="61"/>
      <c r="G532" s="60"/>
      <c r="H532" s="62"/>
      <c r="I532" s="63"/>
      <c r="J532" s="62"/>
      <c r="X532" s="91"/>
      <c r="Y532" s="91"/>
      <c r="Z532" s="91"/>
      <c r="AA532" s="91"/>
      <c r="AB532" s="91"/>
      <c r="AC532" s="37"/>
    </row>
    <row r="533" spans="1:29">
      <c r="A533" s="102"/>
      <c r="B533" s="103"/>
      <c r="C533" s="103"/>
      <c r="D533" s="104"/>
      <c r="E533" s="61"/>
      <c r="G533" s="60"/>
      <c r="H533" s="62"/>
      <c r="I533" s="63"/>
      <c r="J533" s="62"/>
      <c r="X533" s="91"/>
      <c r="Y533" s="91"/>
      <c r="Z533" s="91"/>
      <c r="AA533" s="91"/>
      <c r="AB533" s="91"/>
      <c r="AC533" s="37"/>
    </row>
    <row r="534" spans="1:29">
      <c r="A534" s="102"/>
      <c r="B534" s="103"/>
      <c r="C534" s="103"/>
      <c r="D534" s="104"/>
      <c r="E534" s="61"/>
      <c r="G534" s="60"/>
      <c r="H534" s="62"/>
      <c r="I534" s="63"/>
      <c r="J534" s="62"/>
      <c r="X534" s="91"/>
      <c r="Y534" s="91"/>
      <c r="Z534" s="91"/>
      <c r="AA534" s="91"/>
      <c r="AB534" s="91"/>
      <c r="AC534" s="37"/>
    </row>
    <row r="535" spans="1:29">
      <c r="A535" s="102"/>
      <c r="B535" s="103"/>
      <c r="C535" s="103"/>
      <c r="D535" s="104"/>
      <c r="E535" s="61"/>
      <c r="G535" s="60"/>
      <c r="H535" s="62"/>
      <c r="I535" s="63"/>
      <c r="J535" s="62"/>
      <c r="X535" s="91"/>
      <c r="Y535" s="91"/>
      <c r="Z535" s="91"/>
      <c r="AA535" s="91"/>
      <c r="AB535" s="91"/>
      <c r="AC535" s="37"/>
    </row>
    <row r="536" spans="1:29">
      <c r="A536" s="102"/>
      <c r="B536" s="103"/>
      <c r="C536" s="103"/>
      <c r="D536" s="104"/>
      <c r="E536" s="61"/>
      <c r="G536" s="60"/>
      <c r="H536" s="62"/>
      <c r="I536" s="63"/>
      <c r="J536" s="62"/>
      <c r="X536" s="91"/>
      <c r="Y536" s="91"/>
      <c r="Z536" s="91"/>
      <c r="AA536" s="91"/>
      <c r="AB536" s="91"/>
      <c r="AC536" s="37"/>
    </row>
    <row r="537" spans="1:29">
      <c r="A537" s="102"/>
      <c r="B537" s="103"/>
      <c r="C537" s="103"/>
      <c r="D537" s="104"/>
      <c r="E537" s="61"/>
      <c r="G537" s="60"/>
      <c r="H537" s="62"/>
      <c r="I537" s="63"/>
      <c r="J537" s="62"/>
      <c r="X537" s="91"/>
      <c r="Y537" s="91"/>
      <c r="Z537" s="91"/>
      <c r="AA537" s="91"/>
      <c r="AB537" s="91"/>
      <c r="AC537" s="37"/>
    </row>
    <row r="538" spans="1:29">
      <c r="A538" s="102"/>
      <c r="B538" s="103"/>
      <c r="C538" s="103"/>
      <c r="D538" s="104"/>
      <c r="E538" s="61"/>
      <c r="G538" s="60"/>
      <c r="H538" s="62"/>
      <c r="I538" s="63"/>
      <c r="J538" s="62"/>
      <c r="X538" s="91"/>
      <c r="Y538" s="91"/>
      <c r="Z538" s="91"/>
      <c r="AA538" s="91"/>
      <c r="AB538" s="91"/>
      <c r="AC538" s="37"/>
    </row>
    <row r="539" spans="1:29">
      <c r="A539" s="102"/>
      <c r="B539" s="103"/>
      <c r="C539" s="103"/>
      <c r="D539" s="104"/>
      <c r="E539" s="61"/>
      <c r="G539" s="60"/>
      <c r="H539" s="62"/>
      <c r="I539" s="63"/>
      <c r="J539" s="62"/>
      <c r="X539" s="91"/>
      <c r="Y539" s="91"/>
      <c r="Z539" s="91"/>
      <c r="AA539" s="91"/>
      <c r="AB539" s="91"/>
      <c r="AC539" s="37"/>
    </row>
    <row r="540" spans="1:29">
      <c r="A540" s="102"/>
      <c r="B540" s="103"/>
      <c r="C540" s="103"/>
      <c r="D540" s="104"/>
      <c r="E540" s="61"/>
      <c r="G540" s="60"/>
      <c r="H540" s="62"/>
      <c r="I540" s="63"/>
      <c r="J540" s="62"/>
      <c r="X540" s="91"/>
      <c r="Y540" s="91"/>
      <c r="Z540" s="91"/>
      <c r="AA540" s="91"/>
      <c r="AB540" s="91"/>
      <c r="AC540" s="37"/>
    </row>
    <row r="541" spans="1:29">
      <c r="A541" s="102"/>
      <c r="B541" s="103"/>
      <c r="C541" s="103"/>
      <c r="D541" s="104"/>
      <c r="E541" s="61"/>
      <c r="G541" s="60"/>
      <c r="H541" s="62"/>
      <c r="I541" s="63"/>
      <c r="J541" s="62"/>
      <c r="X541" s="91"/>
      <c r="Y541" s="91"/>
      <c r="Z541" s="91"/>
      <c r="AA541" s="91"/>
      <c r="AB541" s="91"/>
      <c r="AC541" s="37"/>
    </row>
    <row r="542" spans="1:29">
      <c r="A542" s="102"/>
      <c r="B542" s="103"/>
      <c r="C542" s="103"/>
      <c r="D542" s="104"/>
      <c r="E542" s="61"/>
      <c r="G542" s="60"/>
      <c r="H542" s="62"/>
      <c r="I542" s="63"/>
      <c r="J542" s="62"/>
      <c r="X542" s="91"/>
      <c r="Y542" s="91"/>
      <c r="Z542" s="91"/>
      <c r="AA542" s="91"/>
      <c r="AB542" s="91"/>
      <c r="AC542" s="37"/>
    </row>
    <row r="543" spans="1:29">
      <c r="A543" s="102"/>
      <c r="B543" s="103"/>
      <c r="C543" s="103"/>
      <c r="D543" s="104"/>
      <c r="E543" s="61"/>
      <c r="G543" s="60"/>
      <c r="H543" s="62"/>
      <c r="I543" s="63"/>
      <c r="J543" s="62"/>
      <c r="X543" s="91"/>
      <c r="Y543" s="91"/>
      <c r="Z543" s="91"/>
      <c r="AA543" s="91"/>
      <c r="AB543" s="91"/>
      <c r="AC543" s="37"/>
    </row>
    <row r="544" spans="1:29">
      <c r="A544" s="102"/>
      <c r="B544" s="103"/>
      <c r="C544" s="103"/>
      <c r="D544" s="104"/>
      <c r="E544" s="61"/>
      <c r="G544" s="60"/>
      <c r="H544" s="62"/>
      <c r="I544" s="63"/>
      <c r="J544" s="62"/>
      <c r="X544" s="91"/>
      <c r="Y544" s="91"/>
      <c r="Z544" s="91"/>
      <c r="AA544" s="91"/>
      <c r="AB544" s="91"/>
      <c r="AC544" s="37"/>
    </row>
    <row r="545" spans="1:29">
      <c r="A545" s="102"/>
      <c r="B545" s="103"/>
      <c r="C545" s="103"/>
      <c r="D545" s="104"/>
      <c r="E545" s="61"/>
      <c r="G545" s="60"/>
      <c r="H545" s="62"/>
      <c r="I545" s="63"/>
      <c r="J545" s="62"/>
      <c r="X545" s="91"/>
      <c r="Y545" s="91"/>
      <c r="Z545" s="91"/>
      <c r="AA545" s="91"/>
      <c r="AB545" s="91"/>
      <c r="AC545" s="37"/>
    </row>
    <row r="546" spans="1:29">
      <c r="A546" s="102"/>
      <c r="B546" s="103"/>
      <c r="C546" s="103"/>
      <c r="D546" s="104"/>
      <c r="E546" s="61"/>
      <c r="G546" s="60"/>
      <c r="H546" s="62"/>
      <c r="I546" s="63"/>
      <c r="J546" s="62"/>
      <c r="X546" s="91"/>
      <c r="Y546" s="91"/>
      <c r="Z546" s="91"/>
      <c r="AA546" s="91"/>
      <c r="AB546" s="91"/>
      <c r="AC546" s="37"/>
    </row>
    <row r="547" spans="1:29">
      <c r="A547" s="102"/>
      <c r="B547" s="103"/>
      <c r="C547" s="103"/>
      <c r="D547" s="104"/>
      <c r="E547" s="61"/>
      <c r="G547" s="60"/>
      <c r="H547" s="62"/>
      <c r="I547" s="63"/>
      <c r="J547" s="62"/>
      <c r="X547" s="91"/>
      <c r="Y547" s="91"/>
      <c r="Z547" s="91"/>
      <c r="AA547" s="91"/>
      <c r="AB547" s="91"/>
      <c r="AC547" s="37"/>
    </row>
    <row r="548" spans="1:29">
      <c r="A548" s="102"/>
      <c r="B548" s="103"/>
      <c r="C548" s="103"/>
      <c r="D548" s="104"/>
      <c r="E548" s="61"/>
      <c r="G548" s="60"/>
      <c r="H548" s="62"/>
      <c r="I548" s="63"/>
      <c r="J548" s="62"/>
      <c r="X548" s="91"/>
      <c r="Y548" s="91"/>
      <c r="Z548" s="91"/>
      <c r="AA548" s="91"/>
      <c r="AB548" s="91"/>
      <c r="AC548" s="37"/>
    </row>
    <row r="549" spans="1:29">
      <c r="A549" s="102"/>
      <c r="B549" s="103"/>
      <c r="C549" s="103"/>
      <c r="D549" s="104"/>
      <c r="E549" s="61"/>
      <c r="G549" s="60"/>
      <c r="H549" s="62"/>
      <c r="I549" s="63"/>
      <c r="J549" s="62"/>
      <c r="X549" s="91"/>
      <c r="Y549" s="91"/>
      <c r="Z549" s="91"/>
      <c r="AA549" s="91"/>
      <c r="AB549" s="91"/>
      <c r="AC549" s="37"/>
    </row>
    <row r="550" spans="1:29">
      <c r="A550" s="102"/>
      <c r="B550" s="103"/>
      <c r="C550" s="103"/>
      <c r="D550" s="104"/>
      <c r="E550" s="61"/>
      <c r="G550" s="60"/>
      <c r="H550" s="62"/>
      <c r="I550" s="63"/>
      <c r="J550" s="62"/>
      <c r="X550" s="91"/>
      <c r="Y550" s="91"/>
      <c r="Z550" s="91"/>
      <c r="AA550" s="91"/>
      <c r="AB550" s="91"/>
      <c r="AC550" s="37"/>
    </row>
    <row r="551" spans="1:29">
      <c r="A551" s="102"/>
      <c r="B551" s="103"/>
      <c r="C551" s="103"/>
      <c r="D551" s="104"/>
      <c r="E551" s="61"/>
      <c r="G551" s="60"/>
      <c r="H551" s="62"/>
      <c r="I551" s="63"/>
      <c r="J551" s="62"/>
      <c r="X551" s="91"/>
      <c r="Y551" s="91"/>
      <c r="Z551" s="91"/>
      <c r="AA551" s="91"/>
      <c r="AB551" s="91"/>
      <c r="AC551" s="37"/>
    </row>
    <row r="552" spans="1:29">
      <c r="A552" s="102"/>
      <c r="B552" s="103"/>
      <c r="C552" s="103"/>
      <c r="D552" s="104"/>
      <c r="E552" s="61"/>
      <c r="G552" s="60"/>
      <c r="H552" s="62"/>
      <c r="I552" s="63"/>
      <c r="J552" s="62"/>
      <c r="X552" s="91"/>
      <c r="Y552" s="91"/>
      <c r="Z552" s="91"/>
      <c r="AA552" s="91"/>
      <c r="AB552" s="91"/>
      <c r="AC552" s="37"/>
    </row>
    <row r="553" spans="1:29">
      <c r="A553" s="102"/>
      <c r="B553" s="103"/>
      <c r="C553" s="103"/>
      <c r="D553" s="104"/>
      <c r="E553" s="61"/>
      <c r="G553" s="60"/>
      <c r="H553" s="62"/>
      <c r="I553" s="63"/>
      <c r="J553" s="62"/>
      <c r="X553" s="91"/>
      <c r="Y553" s="91"/>
      <c r="Z553" s="91"/>
      <c r="AA553" s="91"/>
      <c r="AB553" s="91"/>
      <c r="AC553" s="37"/>
    </row>
    <row r="554" spans="1:29">
      <c r="A554" s="102"/>
      <c r="B554" s="103"/>
      <c r="C554" s="103"/>
      <c r="D554" s="104"/>
      <c r="E554" s="61"/>
      <c r="G554" s="60"/>
      <c r="H554" s="62"/>
      <c r="I554" s="63"/>
      <c r="J554" s="62"/>
      <c r="X554" s="91"/>
      <c r="Y554" s="91"/>
      <c r="Z554" s="91"/>
      <c r="AA554" s="91"/>
      <c r="AB554" s="91"/>
      <c r="AC554" s="37"/>
    </row>
    <row r="555" spans="1:29">
      <c r="A555" s="102"/>
      <c r="B555" s="103"/>
      <c r="C555" s="103"/>
      <c r="D555" s="104"/>
      <c r="E555" s="61"/>
      <c r="G555" s="60"/>
      <c r="H555" s="62"/>
      <c r="I555" s="63"/>
      <c r="J555" s="62"/>
      <c r="X555" s="91"/>
      <c r="Y555" s="91"/>
      <c r="Z555" s="91"/>
      <c r="AA555" s="91"/>
      <c r="AB555" s="91"/>
      <c r="AC555" s="37"/>
    </row>
    <row r="556" spans="1:29">
      <c r="A556" s="102"/>
      <c r="B556" s="103"/>
      <c r="C556" s="103"/>
      <c r="D556" s="104"/>
      <c r="E556" s="61"/>
      <c r="G556" s="60"/>
      <c r="H556" s="62"/>
      <c r="I556" s="63"/>
      <c r="J556" s="62"/>
      <c r="X556" s="91"/>
      <c r="Y556" s="91"/>
      <c r="Z556" s="91"/>
      <c r="AA556" s="91"/>
      <c r="AB556" s="91"/>
      <c r="AC556" s="37"/>
    </row>
    <row r="557" spans="1:29">
      <c r="A557" s="102"/>
      <c r="B557" s="103"/>
      <c r="C557" s="103"/>
      <c r="D557" s="104"/>
      <c r="E557" s="61"/>
      <c r="G557" s="60"/>
      <c r="H557" s="62"/>
      <c r="I557" s="63"/>
      <c r="J557" s="62"/>
      <c r="X557" s="91"/>
      <c r="Y557" s="91"/>
      <c r="Z557" s="91"/>
      <c r="AA557" s="91"/>
      <c r="AB557" s="91"/>
      <c r="AC557" s="37"/>
    </row>
    <row r="558" spans="1:29">
      <c r="A558" s="102"/>
      <c r="B558" s="103"/>
      <c r="C558" s="103"/>
      <c r="D558" s="104"/>
      <c r="E558" s="61"/>
      <c r="G558" s="60"/>
      <c r="H558" s="62"/>
      <c r="I558" s="63"/>
      <c r="J558" s="62"/>
      <c r="X558" s="91"/>
      <c r="Y558" s="91"/>
      <c r="Z558" s="91"/>
      <c r="AA558" s="91"/>
      <c r="AB558" s="91"/>
      <c r="AC558" s="37"/>
    </row>
    <row r="559" spans="1:29">
      <c r="A559" s="102"/>
      <c r="B559" s="103"/>
      <c r="C559" s="103"/>
      <c r="D559" s="104"/>
      <c r="E559" s="61"/>
      <c r="G559" s="60"/>
      <c r="H559" s="62"/>
      <c r="I559" s="63"/>
      <c r="J559" s="62"/>
      <c r="X559" s="91"/>
      <c r="Y559" s="91"/>
      <c r="Z559" s="91"/>
      <c r="AA559" s="91"/>
      <c r="AB559" s="91"/>
      <c r="AC559" s="37"/>
    </row>
    <row r="560" spans="1:29">
      <c r="A560" s="102"/>
      <c r="B560" s="103"/>
      <c r="C560" s="103"/>
      <c r="D560" s="104"/>
      <c r="E560" s="61"/>
      <c r="G560" s="60"/>
      <c r="H560" s="62"/>
      <c r="I560" s="63"/>
      <c r="J560" s="62"/>
      <c r="X560" s="91"/>
      <c r="Y560" s="91"/>
      <c r="Z560" s="91"/>
      <c r="AA560" s="91"/>
      <c r="AB560" s="91"/>
      <c r="AC560" s="37"/>
    </row>
    <row r="561" spans="1:29">
      <c r="A561" s="102"/>
      <c r="B561" s="103"/>
      <c r="C561" s="103"/>
      <c r="D561" s="104"/>
      <c r="E561" s="61"/>
      <c r="G561" s="60"/>
      <c r="H561" s="62"/>
      <c r="I561" s="63"/>
      <c r="J561" s="62"/>
      <c r="X561" s="91"/>
      <c r="Y561" s="91"/>
      <c r="Z561" s="91"/>
      <c r="AA561" s="91"/>
      <c r="AB561" s="91"/>
      <c r="AC561" s="37"/>
    </row>
    <row r="562" spans="1:29">
      <c r="A562" s="102"/>
      <c r="B562" s="103"/>
      <c r="C562" s="103"/>
      <c r="D562" s="104"/>
      <c r="E562" s="61"/>
      <c r="G562" s="60"/>
      <c r="H562" s="62"/>
      <c r="I562" s="63"/>
      <c r="J562" s="62"/>
      <c r="X562" s="91"/>
      <c r="Y562" s="91"/>
      <c r="Z562" s="91"/>
      <c r="AA562" s="91"/>
      <c r="AB562" s="91"/>
      <c r="AC562" s="37"/>
    </row>
    <row r="563" spans="1:29">
      <c r="A563" s="102"/>
      <c r="B563" s="103"/>
      <c r="C563" s="103"/>
      <c r="D563" s="104"/>
      <c r="E563" s="61"/>
      <c r="G563" s="60"/>
      <c r="H563" s="62"/>
      <c r="I563" s="63"/>
      <c r="J563" s="62"/>
      <c r="X563" s="91"/>
      <c r="Y563" s="91"/>
      <c r="Z563" s="91"/>
      <c r="AA563" s="91"/>
      <c r="AB563" s="91"/>
      <c r="AC563" s="37"/>
    </row>
    <row r="564" spans="1:29">
      <c r="A564" s="102"/>
      <c r="B564" s="103"/>
      <c r="C564" s="103"/>
      <c r="D564" s="104"/>
      <c r="E564" s="61"/>
      <c r="G564" s="60"/>
      <c r="H564" s="62"/>
      <c r="I564" s="63"/>
      <c r="J564" s="62"/>
      <c r="X564" s="91"/>
      <c r="Y564" s="91"/>
      <c r="Z564" s="91"/>
      <c r="AA564" s="91"/>
      <c r="AB564" s="91"/>
      <c r="AC564" s="37"/>
    </row>
    <row r="565" spans="1:29">
      <c r="A565" s="102"/>
      <c r="B565" s="103"/>
      <c r="C565" s="103"/>
      <c r="D565" s="104"/>
      <c r="E565" s="61"/>
      <c r="G565" s="60"/>
      <c r="H565" s="62"/>
      <c r="I565" s="63"/>
      <c r="J565" s="62"/>
      <c r="X565" s="91"/>
      <c r="Y565" s="91"/>
      <c r="Z565" s="91"/>
      <c r="AA565" s="91"/>
      <c r="AB565" s="91"/>
      <c r="AC565" s="37"/>
    </row>
    <row r="566" spans="1:29">
      <c r="A566" s="102"/>
      <c r="B566" s="103"/>
      <c r="C566" s="103"/>
      <c r="D566" s="104"/>
      <c r="E566" s="61"/>
      <c r="G566" s="60"/>
      <c r="H566" s="62"/>
      <c r="I566" s="63"/>
      <c r="J566" s="62"/>
      <c r="X566" s="91"/>
      <c r="Y566" s="91"/>
      <c r="Z566" s="91"/>
      <c r="AA566" s="91"/>
      <c r="AB566" s="91"/>
      <c r="AC566" s="37"/>
    </row>
    <row r="567" spans="1:29">
      <c r="A567" s="102"/>
      <c r="B567" s="103"/>
      <c r="C567" s="103"/>
      <c r="D567" s="104"/>
      <c r="E567" s="61"/>
      <c r="G567" s="60"/>
      <c r="H567" s="62"/>
      <c r="I567" s="63"/>
      <c r="J567" s="62"/>
      <c r="X567" s="91"/>
      <c r="Y567" s="91"/>
      <c r="Z567" s="91"/>
      <c r="AA567" s="91"/>
      <c r="AB567" s="91"/>
      <c r="AC567" s="37"/>
    </row>
    <row r="568" spans="1:29">
      <c r="A568" s="102"/>
      <c r="B568" s="103"/>
      <c r="C568" s="103"/>
      <c r="D568" s="104"/>
      <c r="E568" s="61"/>
      <c r="G568" s="60"/>
      <c r="H568" s="62"/>
      <c r="I568" s="63"/>
      <c r="J568" s="62"/>
      <c r="X568" s="91"/>
      <c r="Y568" s="91"/>
      <c r="Z568" s="91"/>
      <c r="AA568" s="91"/>
      <c r="AB568" s="91"/>
      <c r="AC568" s="37"/>
    </row>
    <row r="569" spans="1:29">
      <c r="A569" s="102"/>
      <c r="B569" s="103"/>
      <c r="C569" s="103"/>
      <c r="D569" s="104"/>
      <c r="E569" s="61"/>
      <c r="G569" s="60"/>
      <c r="H569" s="62"/>
      <c r="I569" s="63"/>
      <c r="J569" s="62"/>
      <c r="X569" s="91"/>
      <c r="Y569" s="91"/>
      <c r="Z569" s="91"/>
      <c r="AA569" s="91"/>
      <c r="AB569" s="91"/>
      <c r="AC569" s="37"/>
    </row>
    <row r="570" spans="1:29">
      <c r="A570" s="102"/>
      <c r="B570" s="103"/>
      <c r="C570" s="103"/>
      <c r="D570" s="104"/>
      <c r="E570" s="61"/>
      <c r="G570" s="60"/>
      <c r="H570" s="62"/>
      <c r="I570" s="63"/>
      <c r="J570" s="62"/>
      <c r="X570" s="91"/>
      <c r="Y570" s="91"/>
      <c r="Z570" s="91"/>
      <c r="AA570" s="91"/>
      <c r="AB570" s="91"/>
      <c r="AC570" s="37"/>
    </row>
    <row r="571" spans="1:29">
      <c r="A571" s="102"/>
      <c r="B571" s="103"/>
      <c r="C571" s="103"/>
      <c r="D571" s="104"/>
      <c r="E571" s="61"/>
      <c r="G571" s="60"/>
      <c r="H571" s="62"/>
      <c r="I571" s="63"/>
      <c r="J571" s="62"/>
      <c r="X571" s="91"/>
      <c r="Y571" s="91"/>
      <c r="Z571" s="91"/>
      <c r="AA571" s="91"/>
      <c r="AB571" s="91"/>
      <c r="AC571" s="37"/>
    </row>
    <row r="572" spans="1:29">
      <c r="A572" s="102"/>
      <c r="B572" s="103"/>
      <c r="C572" s="103"/>
      <c r="D572" s="104"/>
      <c r="E572" s="61"/>
      <c r="G572" s="60"/>
      <c r="H572" s="62"/>
      <c r="I572" s="63"/>
      <c r="J572" s="62"/>
      <c r="X572" s="91"/>
      <c r="Y572" s="91"/>
      <c r="Z572" s="91"/>
      <c r="AA572" s="91"/>
      <c r="AB572" s="91"/>
      <c r="AC572" s="37"/>
    </row>
    <row r="573" spans="1:29">
      <c r="A573" s="102"/>
      <c r="B573" s="103"/>
      <c r="C573" s="103"/>
      <c r="D573" s="104"/>
      <c r="E573" s="61"/>
      <c r="G573" s="60"/>
      <c r="H573" s="62"/>
      <c r="I573" s="63"/>
      <c r="J573" s="62"/>
      <c r="X573" s="91"/>
      <c r="Y573" s="91"/>
      <c r="Z573" s="91"/>
      <c r="AA573" s="91"/>
      <c r="AB573" s="91"/>
      <c r="AC573" s="37"/>
    </row>
    <row r="574" spans="1:29">
      <c r="A574" s="102"/>
      <c r="B574" s="103"/>
      <c r="C574" s="103"/>
      <c r="D574" s="104"/>
      <c r="E574" s="61"/>
      <c r="G574" s="60"/>
      <c r="H574" s="62"/>
      <c r="I574" s="63"/>
      <c r="J574" s="62"/>
      <c r="X574" s="91"/>
      <c r="Y574" s="91"/>
      <c r="Z574" s="91"/>
      <c r="AA574" s="91"/>
      <c r="AB574" s="91"/>
      <c r="AC574" s="37"/>
    </row>
    <row r="575" spans="1:29">
      <c r="A575" s="102"/>
      <c r="B575" s="103"/>
      <c r="C575" s="103"/>
      <c r="D575" s="104"/>
      <c r="E575" s="61"/>
      <c r="G575" s="60"/>
      <c r="H575" s="62"/>
      <c r="I575" s="63"/>
      <c r="J575" s="62"/>
      <c r="X575" s="91"/>
      <c r="Y575" s="91"/>
      <c r="Z575" s="91"/>
      <c r="AA575" s="91"/>
      <c r="AB575" s="91"/>
      <c r="AC575" s="37"/>
    </row>
    <row r="576" spans="1:29">
      <c r="A576" s="102"/>
      <c r="B576" s="103"/>
      <c r="C576" s="103"/>
      <c r="D576" s="104"/>
      <c r="E576" s="61"/>
      <c r="G576" s="60"/>
      <c r="H576" s="62"/>
      <c r="I576" s="63"/>
      <c r="J576" s="62"/>
      <c r="X576" s="91"/>
      <c r="Y576" s="91"/>
      <c r="Z576" s="91"/>
      <c r="AA576" s="91"/>
      <c r="AB576" s="91"/>
      <c r="AC576" s="37"/>
    </row>
    <row r="577" spans="1:29">
      <c r="A577" s="102"/>
      <c r="B577" s="103"/>
      <c r="C577" s="103"/>
      <c r="D577" s="104"/>
      <c r="E577" s="61"/>
      <c r="G577" s="60"/>
      <c r="H577" s="62"/>
      <c r="I577" s="63"/>
      <c r="J577" s="62"/>
      <c r="X577" s="91"/>
      <c r="Y577" s="91"/>
      <c r="Z577" s="91"/>
      <c r="AA577" s="91"/>
      <c r="AB577" s="91"/>
      <c r="AC577" s="37"/>
    </row>
    <row r="578" spans="1:29">
      <c r="A578" s="102"/>
      <c r="B578" s="103"/>
      <c r="C578" s="103"/>
      <c r="D578" s="104"/>
      <c r="E578" s="61"/>
      <c r="G578" s="60"/>
      <c r="H578" s="62"/>
      <c r="I578" s="63"/>
      <c r="J578" s="62"/>
      <c r="X578" s="91"/>
      <c r="Y578" s="91"/>
      <c r="Z578" s="91"/>
      <c r="AA578" s="91"/>
      <c r="AB578" s="91"/>
      <c r="AC578" s="37"/>
    </row>
    <row r="579" spans="1:29">
      <c r="A579" s="102"/>
      <c r="B579" s="103"/>
      <c r="C579" s="103"/>
      <c r="D579" s="104"/>
      <c r="E579" s="61"/>
      <c r="G579" s="60"/>
      <c r="H579" s="62"/>
      <c r="I579" s="63"/>
      <c r="J579" s="62"/>
      <c r="X579" s="91"/>
      <c r="Y579" s="91"/>
      <c r="Z579" s="91"/>
      <c r="AA579" s="91"/>
      <c r="AB579" s="91"/>
      <c r="AC579" s="37"/>
    </row>
    <row r="580" spans="1:29">
      <c r="A580" s="102"/>
      <c r="B580" s="103"/>
      <c r="C580" s="103"/>
      <c r="D580" s="104"/>
      <c r="E580" s="61"/>
      <c r="G580" s="60"/>
      <c r="H580" s="62"/>
      <c r="I580" s="63"/>
      <c r="J580" s="62"/>
      <c r="X580" s="91"/>
      <c r="Y580" s="91"/>
      <c r="Z580" s="91"/>
      <c r="AA580" s="91"/>
      <c r="AB580" s="91"/>
      <c r="AC580" s="37"/>
    </row>
    <row r="581" spans="1:29">
      <c r="A581" s="102"/>
      <c r="B581" s="103"/>
      <c r="C581" s="103"/>
      <c r="D581" s="104"/>
      <c r="E581" s="61"/>
      <c r="G581" s="60"/>
      <c r="H581" s="62"/>
      <c r="I581" s="63"/>
      <c r="J581" s="62"/>
      <c r="X581" s="91"/>
      <c r="Y581" s="91"/>
      <c r="Z581" s="91"/>
      <c r="AA581" s="91"/>
      <c r="AB581" s="91"/>
      <c r="AC581" s="37"/>
    </row>
    <row r="582" spans="1:29">
      <c r="A582" s="102"/>
      <c r="B582" s="103"/>
      <c r="C582" s="103"/>
      <c r="D582" s="104"/>
      <c r="E582" s="61"/>
      <c r="G582" s="60"/>
      <c r="H582" s="62"/>
      <c r="I582" s="63"/>
      <c r="J582" s="62"/>
      <c r="X582" s="91"/>
      <c r="Y582" s="91"/>
      <c r="Z582" s="91"/>
      <c r="AA582" s="91"/>
      <c r="AB582" s="91"/>
      <c r="AC582" s="37"/>
    </row>
    <row r="583" spans="1:29">
      <c r="A583" s="102"/>
      <c r="B583" s="103"/>
      <c r="C583" s="103"/>
      <c r="D583" s="104"/>
      <c r="E583" s="61"/>
      <c r="G583" s="60"/>
      <c r="H583" s="62"/>
      <c r="I583" s="63"/>
      <c r="J583" s="62"/>
      <c r="X583" s="91"/>
      <c r="Y583" s="91"/>
      <c r="Z583" s="91"/>
      <c r="AA583" s="91"/>
      <c r="AB583" s="91"/>
      <c r="AC583" s="37"/>
    </row>
    <row r="584" spans="1:29">
      <c r="A584" s="102"/>
      <c r="B584" s="103"/>
      <c r="C584" s="103"/>
      <c r="D584" s="104"/>
      <c r="E584" s="61"/>
      <c r="G584" s="60"/>
      <c r="H584" s="62"/>
      <c r="I584" s="63"/>
      <c r="J584" s="62"/>
      <c r="X584" s="91"/>
      <c r="Y584" s="91"/>
      <c r="Z584" s="91"/>
      <c r="AA584" s="91"/>
      <c r="AB584" s="91"/>
      <c r="AC584" s="37"/>
    </row>
    <row r="585" spans="1:29">
      <c r="A585" s="102"/>
      <c r="B585" s="103"/>
      <c r="C585" s="103"/>
      <c r="D585" s="104"/>
      <c r="E585" s="61"/>
      <c r="G585" s="60"/>
      <c r="H585" s="62"/>
      <c r="I585" s="63"/>
      <c r="J585" s="62"/>
      <c r="X585" s="91"/>
      <c r="Y585" s="91"/>
      <c r="Z585" s="91"/>
      <c r="AA585" s="91"/>
      <c r="AB585" s="91"/>
      <c r="AC585" s="37"/>
    </row>
    <row r="586" spans="1:29">
      <c r="A586" s="102"/>
      <c r="B586" s="103"/>
      <c r="C586" s="103"/>
      <c r="D586" s="104"/>
      <c r="E586" s="61"/>
      <c r="G586" s="60"/>
      <c r="H586" s="62"/>
      <c r="I586" s="63"/>
      <c r="J586" s="62"/>
      <c r="X586" s="91"/>
      <c r="Y586" s="91"/>
      <c r="Z586" s="91"/>
      <c r="AA586" s="91"/>
      <c r="AB586" s="91"/>
      <c r="AC586" s="37"/>
    </row>
    <row r="587" spans="1:29">
      <c r="A587" s="102"/>
      <c r="B587" s="103"/>
      <c r="C587" s="103"/>
      <c r="D587" s="104"/>
      <c r="E587" s="61"/>
      <c r="G587" s="60"/>
      <c r="H587" s="62"/>
      <c r="I587" s="63"/>
      <c r="J587" s="62"/>
      <c r="X587" s="91"/>
      <c r="Y587" s="91"/>
      <c r="Z587" s="91"/>
      <c r="AA587" s="91"/>
      <c r="AB587" s="91"/>
      <c r="AC587" s="37"/>
    </row>
    <row r="588" spans="1:29">
      <c r="A588" s="102"/>
      <c r="B588" s="103"/>
      <c r="C588" s="103"/>
      <c r="D588" s="104"/>
      <c r="E588" s="61"/>
      <c r="G588" s="60"/>
      <c r="H588" s="62"/>
      <c r="I588" s="63"/>
      <c r="J588" s="62"/>
      <c r="X588" s="91"/>
      <c r="Y588" s="91"/>
      <c r="Z588" s="91"/>
      <c r="AA588" s="91"/>
      <c r="AB588" s="91"/>
      <c r="AC588" s="37"/>
    </row>
    <row r="589" spans="1:29">
      <c r="A589" s="102"/>
      <c r="B589" s="103"/>
      <c r="C589" s="103"/>
      <c r="D589" s="104"/>
      <c r="E589" s="61"/>
      <c r="G589" s="60"/>
      <c r="H589" s="62"/>
      <c r="I589" s="63"/>
      <c r="J589" s="62"/>
      <c r="X589" s="91"/>
      <c r="Y589" s="91"/>
      <c r="Z589" s="91"/>
      <c r="AA589" s="91"/>
      <c r="AB589" s="91"/>
      <c r="AC589" s="37"/>
    </row>
    <row r="590" spans="1:29">
      <c r="A590" s="102"/>
      <c r="B590" s="103"/>
      <c r="C590" s="103"/>
      <c r="D590" s="104"/>
      <c r="E590" s="61"/>
      <c r="G590" s="60"/>
      <c r="H590" s="62"/>
      <c r="I590" s="63"/>
      <c r="J590" s="62"/>
      <c r="X590" s="91"/>
      <c r="Y590" s="91"/>
      <c r="Z590" s="91"/>
      <c r="AA590" s="91"/>
      <c r="AB590" s="91"/>
      <c r="AC590" s="37"/>
    </row>
    <row r="591" spans="1:29">
      <c r="A591" s="102"/>
      <c r="B591" s="103"/>
      <c r="C591" s="103"/>
      <c r="D591" s="104"/>
      <c r="E591" s="61"/>
      <c r="G591" s="60"/>
      <c r="H591" s="62"/>
      <c r="I591" s="63"/>
      <c r="J591" s="62"/>
      <c r="X591" s="91"/>
      <c r="Y591" s="91"/>
      <c r="Z591" s="91"/>
      <c r="AA591" s="91"/>
      <c r="AB591" s="91"/>
      <c r="AC591" s="37"/>
    </row>
    <row r="592" spans="1:29">
      <c r="A592" s="102"/>
      <c r="B592" s="103"/>
      <c r="C592" s="103"/>
      <c r="D592" s="104"/>
      <c r="E592" s="61"/>
      <c r="G592" s="60"/>
      <c r="H592" s="62"/>
      <c r="I592" s="63"/>
      <c r="J592" s="62"/>
      <c r="X592" s="91"/>
      <c r="Y592" s="91"/>
      <c r="Z592" s="91"/>
      <c r="AA592" s="91"/>
      <c r="AB592" s="91"/>
      <c r="AC592" s="37"/>
    </row>
    <row r="593" spans="1:29">
      <c r="A593" s="102"/>
      <c r="B593" s="103"/>
      <c r="C593" s="103"/>
      <c r="D593" s="104"/>
      <c r="E593" s="61"/>
      <c r="G593" s="60"/>
      <c r="H593" s="62"/>
      <c r="I593" s="63"/>
      <c r="J593" s="62"/>
      <c r="X593" s="91"/>
      <c r="Y593" s="91"/>
      <c r="Z593" s="91"/>
      <c r="AA593" s="91"/>
      <c r="AB593" s="91"/>
      <c r="AC593" s="37"/>
    </row>
    <row r="594" spans="1:29">
      <c r="A594" s="102"/>
      <c r="B594" s="103"/>
      <c r="C594" s="103"/>
      <c r="D594" s="104"/>
      <c r="E594" s="61"/>
      <c r="G594" s="60"/>
      <c r="H594" s="62"/>
      <c r="I594" s="63"/>
      <c r="J594" s="62"/>
      <c r="X594" s="91"/>
      <c r="Y594" s="91"/>
      <c r="Z594" s="91"/>
      <c r="AA594" s="91"/>
      <c r="AB594" s="91"/>
      <c r="AC594" s="37"/>
    </row>
    <row r="595" spans="1:29">
      <c r="A595" s="102"/>
      <c r="B595" s="103"/>
      <c r="C595" s="103"/>
      <c r="D595" s="104"/>
      <c r="E595" s="61"/>
      <c r="G595" s="60"/>
      <c r="H595" s="62"/>
      <c r="I595" s="63"/>
      <c r="J595" s="62"/>
      <c r="X595" s="91"/>
      <c r="Y595" s="91"/>
      <c r="Z595" s="91"/>
      <c r="AA595" s="91"/>
      <c r="AB595" s="91"/>
      <c r="AC595" s="37"/>
    </row>
    <row r="596" spans="1:29">
      <c r="A596" s="102"/>
      <c r="B596" s="103"/>
      <c r="C596" s="103"/>
      <c r="D596" s="104"/>
      <c r="E596" s="61"/>
      <c r="G596" s="60"/>
      <c r="H596" s="62"/>
      <c r="I596" s="63"/>
      <c r="J596" s="62"/>
      <c r="X596" s="91"/>
      <c r="Y596" s="91"/>
      <c r="Z596" s="91"/>
      <c r="AA596" s="91"/>
      <c r="AB596" s="91"/>
      <c r="AC596" s="37"/>
    </row>
    <row r="597" spans="1:29">
      <c r="A597" s="102"/>
      <c r="B597" s="103"/>
      <c r="C597" s="103"/>
      <c r="D597" s="104"/>
      <c r="E597" s="61"/>
      <c r="G597" s="60"/>
      <c r="H597" s="62"/>
      <c r="I597" s="63"/>
      <c r="J597" s="62"/>
      <c r="X597" s="91"/>
      <c r="Y597" s="91"/>
      <c r="Z597" s="91"/>
      <c r="AA597" s="91"/>
      <c r="AB597" s="91"/>
      <c r="AC597" s="37"/>
    </row>
    <row r="598" spans="1:29">
      <c r="A598" s="102"/>
      <c r="B598" s="103"/>
      <c r="C598" s="103"/>
      <c r="D598" s="104"/>
      <c r="E598" s="61"/>
      <c r="G598" s="60"/>
      <c r="H598" s="62"/>
      <c r="I598" s="63"/>
      <c r="J598" s="62"/>
      <c r="X598" s="91"/>
      <c r="Y598" s="91"/>
      <c r="Z598" s="91"/>
      <c r="AA598" s="91"/>
      <c r="AB598" s="91"/>
      <c r="AC598" s="37"/>
    </row>
    <row r="599" spans="1:29">
      <c r="A599" s="102"/>
      <c r="B599" s="103"/>
      <c r="C599" s="103"/>
      <c r="D599" s="104"/>
      <c r="E599" s="61"/>
      <c r="G599" s="60"/>
      <c r="H599" s="62"/>
      <c r="I599" s="63"/>
      <c r="J599" s="62"/>
      <c r="X599" s="91"/>
      <c r="Y599" s="91"/>
      <c r="Z599" s="91"/>
      <c r="AA599" s="91"/>
      <c r="AB599" s="91"/>
      <c r="AC599" s="37"/>
    </row>
    <row r="600" spans="1:29">
      <c r="A600" s="102"/>
      <c r="B600" s="103"/>
      <c r="C600" s="103"/>
      <c r="D600" s="104"/>
      <c r="E600" s="61"/>
      <c r="G600" s="60"/>
      <c r="H600" s="62"/>
      <c r="I600" s="63"/>
      <c r="J600" s="62"/>
      <c r="X600" s="91"/>
      <c r="Y600" s="91"/>
      <c r="Z600" s="91"/>
      <c r="AA600" s="91"/>
      <c r="AB600" s="91"/>
      <c r="AC600" s="37"/>
    </row>
    <row r="601" spans="1:29">
      <c r="A601" s="102"/>
      <c r="B601" s="103"/>
      <c r="C601" s="103"/>
      <c r="D601" s="104"/>
      <c r="E601" s="61"/>
      <c r="G601" s="60"/>
      <c r="H601" s="62"/>
      <c r="I601" s="63"/>
      <c r="J601" s="62"/>
      <c r="X601" s="91"/>
      <c r="Y601" s="91"/>
      <c r="Z601" s="91"/>
      <c r="AA601" s="91"/>
      <c r="AB601" s="91"/>
      <c r="AC601" s="37"/>
    </row>
    <row r="602" spans="1:29">
      <c r="A602" s="102"/>
      <c r="B602" s="103"/>
      <c r="C602" s="103"/>
      <c r="D602" s="104"/>
      <c r="E602" s="61"/>
      <c r="G602" s="60"/>
      <c r="H602" s="62"/>
      <c r="I602" s="63"/>
      <c r="J602" s="62"/>
      <c r="X602" s="91"/>
      <c r="Y602" s="91"/>
      <c r="Z602" s="91"/>
      <c r="AA602" s="91"/>
      <c r="AB602" s="91"/>
      <c r="AC602" s="37"/>
    </row>
    <row r="603" spans="1:29">
      <c r="A603" s="102"/>
      <c r="B603" s="103"/>
      <c r="C603" s="103"/>
      <c r="D603" s="104"/>
      <c r="E603" s="61"/>
      <c r="G603" s="60"/>
      <c r="H603" s="62"/>
      <c r="I603" s="63"/>
      <c r="J603" s="62"/>
      <c r="X603" s="91"/>
      <c r="Y603" s="91"/>
      <c r="Z603" s="91"/>
      <c r="AA603" s="91"/>
      <c r="AB603" s="91"/>
      <c r="AC603" s="37"/>
    </row>
    <row r="604" spans="1:29">
      <c r="A604" s="102"/>
      <c r="B604" s="103"/>
      <c r="C604" s="103"/>
      <c r="D604" s="104"/>
      <c r="E604" s="61"/>
      <c r="G604" s="60"/>
      <c r="H604" s="62"/>
      <c r="I604" s="63"/>
      <c r="J604" s="62"/>
      <c r="X604" s="91"/>
      <c r="Y604" s="91"/>
      <c r="Z604" s="91"/>
      <c r="AA604" s="91"/>
      <c r="AB604" s="91"/>
      <c r="AC604" s="37"/>
    </row>
    <row r="605" spans="1:29">
      <c r="A605" s="102"/>
      <c r="B605" s="103"/>
      <c r="C605" s="103"/>
      <c r="D605" s="104"/>
      <c r="E605" s="61"/>
      <c r="G605" s="60"/>
      <c r="H605" s="62"/>
      <c r="I605" s="63"/>
      <c r="J605" s="62"/>
      <c r="X605" s="91"/>
      <c r="Y605" s="91"/>
      <c r="Z605" s="91"/>
      <c r="AA605" s="91"/>
      <c r="AB605" s="91"/>
      <c r="AC605" s="37"/>
    </row>
    <row r="606" spans="1:29">
      <c r="A606" s="102"/>
      <c r="B606" s="103"/>
      <c r="C606" s="103"/>
      <c r="D606" s="104"/>
      <c r="E606" s="61"/>
      <c r="G606" s="60"/>
      <c r="H606" s="62"/>
      <c r="I606" s="63"/>
      <c r="J606" s="62"/>
      <c r="X606" s="91"/>
      <c r="Y606" s="91"/>
      <c r="Z606" s="91"/>
      <c r="AA606" s="91"/>
      <c r="AB606" s="91"/>
      <c r="AC606" s="37"/>
    </row>
    <row r="607" spans="1:29">
      <c r="A607" s="102"/>
      <c r="B607" s="103"/>
      <c r="C607" s="103"/>
      <c r="D607" s="104"/>
      <c r="E607" s="61"/>
      <c r="G607" s="60"/>
      <c r="H607" s="62"/>
      <c r="I607" s="63"/>
      <c r="J607" s="62"/>
      <c r="X607" s="91"/>
      <c r="Y607" s="91"/>
      <c r="Z607" s="91"/>
      <c r="AA607" s="91"/>
      <c r="AB607" s="91"/>
      <c r="AC607" s="37"/>
    </row>
    <row r="608" spans="1:29">
      <c r="A608" s="102"/>
      <c r="B608" s="103"/>
      <c r="C608" s="103"/>
      <c r="D608" s="104"/>
      <c r="E608" s="61"/>
      <c r="G608" s="60"/>
      <c r="H608" s="62"/>
      <c r="I608" s="63"/>
      <c r="J608" s="62"/>
      <c r="X608" s="91"/>
      <c r="Y608" s="91"/>
      <c r="Z608" s="91"/>
      <c r="AA608" s="91"/>
      <c r="AB608" s="91"/>
      <c r="AC608" s="37"/>
    </row>
    <row r="609" spans="1:29">
      <c r="A609" s="102"/>
      <c r="B609" s="103"/>
      <c r="C609" s="103"/>
      <c r="D609" s="104"/>
      <c r="E609" s="61"/>
      <c r="G609" s="60"/>
      <c r="H609" s="62"/>
      <c r="I609" s="63"/>
      <c r="J609" s="62"/>
      <c r="X609" s="91"/>
      <c r="Y609" s="91"/>
      <c r="Z609" s="91"/>
      <c r="AA609" s="91"/>
      <c r="AB609" s="91"/>
      <c r="AC609" s="37"/>
    </row>
    <row r="610" spans="1:29">
      <c r="A610" s="102"/>
      <c r="B610" s="103"/>
      <c r="C610" s="103"/>
      <c r="D610" s="104"/>
      <c r="E610" s="61"/>
      <c r="G610" s="60"/>
      <c r="H610" s="62"/>
      <c r="I610" s="63"/>
      <c r="J610" s="62"/>
      <c r="X610" s="91"/>
      <c r="Y610" s="91"/>
      <c r="Z610" s="91"/>
      <c r="AA610" s="91"/>
      <c r="AB610" s="91"/>
      <c r="AC610" s="37"/>
    </row>
    <row r="611" spans="1:29">
      <c r="A611" s="102"/>
      <c r="B611" s="103"/>
      <c r="C611" s="103"/>
      <c r="D611" s="104"/>
      <c r="E611" s="61"/>
      <c r="G611" s="60"/>
      <c r="H611" s="62"/>
      <c r="I611" s="63"/>
      <c r="J611" s="62"/>
      <c r="X611" s="91"/>
      <c r="Y611" s="91"/>
      <c r="Z611" s="91"/>
      <c r="AA611" s="91"/>
      <c r="AB611" s="91"/>
      <c r="AC611" s="37"/>
    </row>
    <row r="612" spans="1:29">
      <c r="A612" s="102"/>
      <c r="B612" s="103"/>
      <c r="C612" s="103"/>
      <c r="D612" s="104"/>
      <c r="E612" s="61"/>
      <c r="G612" s="60"/>
      <c r="H612" s="62"/>
      <c r="I612" s="63"/>
      <c r="J612" s="62"/>
      <c r="X612" s="91"/>
      <c r="Y612" s="91"/>
      <c r="Z612" s="91"/>
      <c r="AA612" s="91"/>
      <c r="AB612" s="91"/>
      <c r="AC612" s="37"/>
    </row>
    <row r="613" spans="1:29">
      <c r="A613" s="102"/>
      <c r="B613" s="103"/>
      <c r="C613" s="103"/>
      <c r="D613" s="104"/>
      <c r="E613" s="61"/>
      <c r="G613" s="60"/>
      <c r="H613" s="62"/>
      <c r="I613" s="63"/>
      <c r="J613" s="62"/>
      <c r="X613" s="91"/>
      <c r="Y613" s="91"/>
      <c r="Z613" s="91"/>
      <c r="AA613" s="91"/>
      <c r="AB613" s="91"/>
      <c r="AC613" s="37"/>
    </row>
    <row r="614" spans="1:29">
      <c r="A614" s="102"/>
      <c r="B614" s="103"/>
      <c r="C614" s="103"/>
      <c r="D614" s="104"/>
      <c r="E614" s="61"/>
      <c r="G614" s="60"/>
      <c r="H614" s="62"/>
      <c r="I614" s="63"/>
      <c r="J614" s="62"/>
      <c r="X614" s="91"/>
      <c r="Y614" s="91"/>
      <c r="Z614" s="91"/>
      <c r="AA614" s="91"/>
      <c r="AB614" s="91"/>
      <c r="AC614" s="37"/>
    </row>
    <row r="615" spans="1:29">
      <c r="A615" s="102"/>
      <c r="B615" s="103"/>
      <c r="C615" s="103"/>
      <c r="D615" s="104"/>
      <c r="E615" s="61"/>
      <c r="G615" s="60"/>
      <c r="H615" s="62"/>
      <c r="I615" s="63"/>
      <c r="J615" s="62"/>
      <c r="X615" s="91"/>
      <c r="Y615" s="91"/>
      <c r="Z615" s="91"/>
      <c r="AA615" s="91"/>
      <c r="AB615" s="91"/>
      <c r="AC615" s="37"/>
    </row>
    <row r="616" spans="1:29">
      <c r="A616" s="102"/>
      <c r="B616" s="103"/>
      <c r="C616" s="103"/>
      <c r="D616" s="104"/>
      <c r="E616" s="61"/>
      <c r="G616" s="60"/>
      <c r="H616" s="62"/>
      <c r="I616" s="63"/>
      <c r="J616" s="62"/>
      <c r="X616" s="91"/>
      <c r="Y616" s="91"/>
      <c r="Z616" s="91"/>
      <c r="AA616" s="91"/>
      <c r="AB616" s="91"/>
      <c r="AC616" s="37"/>
    </row>
    <row r="617" spans="1:29">
      <c r="A617" s="102"/>
      <c r="B617" s="103"/>
      <c r="C617" s="103"/>
      <c r="D617" s="104"/>
      <c r="E617" s="61"/>
      <c r="G617" s="60"/>
      <c r="H617" s="62"/>
      <c r="I617" s="63"/>
      <c r="J617" s="62"/>
      <c r="X617" s="91"/>
      <c r="Y617" s="91"/>
      <c r="Z617" s="91"/>
      <c r="AA617" s="91"/>
      <c r="AB617" s="91"/>
      <c r="AC617" s="37"/>
    </row>
    <row r="618" spans="1:29">
      <c r="A618" s="102"/>
      <c r="B618" s="103"/>
      <c r="C618" s="103"/>
      <c r="D618" s="104"/>
      <c r="E618" s="61"/>
      <c r="G618" s="60"/>
      <c r="H618" s="62"/>
      <c r="I618" s="63"/>
      <c r="J618" s="62"/>
      <c r="X618" s="91"/>
      <c r="Y618" s="91"/>
      <c r="Z618" s="91"/>
      <c r="AA618" s="91"/>
      <c r="AB618" s="91"/>
      <c r="AC618" s="37"/>
    </row>
    <row r="619" spans="1:29">
      <c r="A619" s="102"/>
      <c r="B619" s="103"/>
      <c r="C619" s="103"/>
      <c r="D619" s="104"/>
      <c r="E619" s="61"/>
      <c r="G619" s="60"/>
      <c r="H619" s="62"/>
      <c r="I619" s="63"/>
      <c r="J619" s="62"/>
      <c r="X619" s="91"/>
      <c r="Y619" s="91"/>
      <c r="Z619" s="91"/>
      <c r="AA619" s="91"/>
      <c r="AB619" s="91"/>
      <c r="AC619" s="37"/>
    </row>
    <row r="620" spans="1:29">
      <c r="A620" s="102"/>
      <c r="B620" s="103"/>
      <c r="C620" s="103"/>
      <c r="D620" s="104"/>
      <c r="E620" s="61"/>
      <c r="G620" s="60"/>
      <c r="H620" s="62"/>
      <c r="I620" s="63"/>
      <c r="J620" s="62"/>
      <c r="X620" s="91"/>
      <c r="Y620" s="91"/>
      <c r="Z620" s="91"/>
      <c r="AA620" s="91"/>
      <c r="AB620" s="91"/>
      <c r="AC620" s="37"/>
    </row>
    <row r="621" spans="1:29">
      <c r="A621" s="102"/>
      <c r="B621" s="103"/>
      <c r="C621" s="103"/>
      <c r="D621" s="104"/>
      <c r="E621" s="61"/>
      <c r="G621" s="60"/>
      <c r="H621" s="62"/>
      <c r="I621" s="63"/>
      <c r="J621" s="62"/>
      <c r="X621" s="91"/>
      <c r="Y621" s="91"/>
      <c r="Z621" s="91"/>
      <c r="AA621" s="91"/>
      <c r="AB621" s="91"/>
      <c r="AC621" s="37"/>
    </row>
    <row r="622" spans="1:29">
      <c r="A622" s="102"/>
      <c r="B622" s="103"/>
      <c r="C622" s="103"/>
      <c r="D622" s="104"/>
      <c r="E622" s="61"/>
      <c r="G622" s="60"/>
      <c r="H622" s="62"/>
      <c r="I622" s="63"/>
      <c r="J622" s="62"/>
      <c r="X622" s="91"/>
      <c r="Y622" s="91"/>
      <c r="Z622" s="91"/>
      <c r="AA622" s="91"/>
      <c r="AB622" s="91"/>
      <c r="AC622" s="37"/>
    </row>
    <row r="623" spans="1:29">
      <c r="A623" s="102"/>
      <c r="B623" s="103"/>
      <c r="C623" s="103"/>
      <c r="D623" s="104"/>
      <c r="E623" s="61"/>
      <c r="G623" s="60"/>
      <c r="H623" s="62"/>
      <c r="I623" s="63"/>
      <c r="J623" s="62"/>
      <c r="X623" s="91"/>
      <c r="Y623" s="91"/>
      <c r="Z623" s="91"/>
      <c r="AA623" s="91"/>
      <c r="AB623" s="91"/>
      <c r="AC623" s="37"/>
    </row>
    <row r="624" spans="1:29">
      <c r="A624" s="102"/>
      <c r="B624" s="103"/>
      <c r="C624" s="103"/>
      <c r="D624" s="104"/>
      <c r="E624" s="61"/>
      <c r="G624" s="60"/>
      <c r="H624" s="62"/>
      <c r="I624" s="63"/>
      <c r="J624" s="62"/>
      <c r="X624" s="91"/>
      <c r="Y624" s="91"/>
      <c r="Z624" s="91"/>
      <c r="AA624" s="91"/>
      <c r="AB624" s="91"/>
      <c r="AC624" s="37"/>
    </row>
    <row r="625" spans="1:29">
      <c r="A625" s="102"/>
      <c r="B625" s="103"/>
      <c r="C625" s="103"/>
      <c r="D625" s="104"/>
      <c r="E625" s="61"/>
      <c r="G625" s="60"/>
      <c r="H625" s="62"/>
      <c r="I625" s="63"/>
      <c r="J625" s="62"/>
      <c r="X625" s="91"/>
      <c r="Y625" s="91"/>
      <c r="Z625" s="91"/>
      <c r="AA625" s="91"/>
      <c r="AB625" s="91"/>
      <c r="AC625" s="37"/>
    </row>
    <row r="626" spans="1:29">
      <c r="A626" s="102"/>
      <c r="B626" s="103"/>
      <c r="C626" s="103"/>
      <c r="D626" s="104"/>
      <c r="E626" s="61"/>
      <c r="G626" s="60"/>
      <c r="H626" s="62"/>
      <c r="I626" s="63"/>
      <c r="J626" s="62"/>
      <c r="X626" s="91"/>
      <c r="Y626" s="91"/>
      <c r="Z626" s="91"/>
      <c r="AA626" s="91"/>
      <c r="AB626" s="91"/>
      <c r="AC626" s="37"/>
    </row>
    <row r="627" spans="1:29">
      <c r="A627" s="102"/>
      <c r="B627" s="103"/>
      <c r="C627" s="103"/>
      <c r="D627" s="104"/>
      <c r="E627" s="61"/>
      <c r="G627" s="60"/>
      <c r="H627" s="62"/>
      <c r="I627" s="63"/>
      <c r="J627" s="62"/>
      <c r="X627" s="91"/>
      <c r="Y627" s="91"/>
      <c r="Z627" s="91"/>
      <c r="AA627" s="91"/>
      <c r="AB627" s="91"/>
      <c r="AC627" s="37"/>
    </row>
    <row r="628" spans="1:29">
      <c r="A628" s="102"/>
      <c r="B628" s="103"/>
      <c r="C628" s="103"/>
      <c r="D628" s="104"/>
      <c r="E628" s="61"/>
      <c r="G628" s="60"/>
      <c r="H628" s="62"/>
      <c r="I628" s="63"/>
      <c r="J628" s="62"/>
      <c r="X628" s="91"/>
      <c r="Y628" s="91"/>
      <c r="Z628" s="91"/>
      <c r="AA628" s="91"/>
      <c r="AB628" s="91"/>
      <c r="AC628" s="37"/>
    </row>
    <row r="629" spans="1:29">
      <c r="A629" s="102"/>
      <c r="B629" s="103"/>
      <c r="C629" s="103"/>
      <c r="D629" s="104"/>
      <c r="E629" s="61"/>
      <c r="G629" s="60"/>
      <c r="H629" s="62"/>
      <c r="I629" s="63"/>
      <c r="J629" s="62"/>
      <c r="X629" s="91"/>
      <c r="Y629" s="91"/>
      <c r="Z629" s="91"/>
      <c r="AA629" s="91"/>
      <c r="AB629" s="91"/>
      <c r="AC629" s="37"/>
    </row>
    <row r="630" spans="1:29">
      <c r="A630" s="102"/>
      <c r="B630" s="103"/>
      <c r="C630" s="103"/>
      <c r="D630" s="104"/>
      <c r="E630" s="61"/>
      <c r="G630" s="60"/>
      <c r="H630" s="62"/>
      <c r="I630" s="63"/>
      <c r="J630" s="62"/>
      <c r="X630" s="91"/>
      <c r="Y630" s="91"/>
      <c r="Z630" s="91"/>
      <c r="AA630" s="91"/>
      <c r="AB630" s="91"/>
      <c r="AC630" s="37"/>
    </row>
    <row r="631" spans="1:29">
      <c r="A631" s="102"/>
      <c r="B631" s="103"/>
      <c r="C631" s="103"/>
      <c r="D631" s="104"/>
      <c r="E631" s="61"/>
      <c r="G631" s="60"/>
      <c r="H631" s="62"/>
      <c r="I631" s="63"/>
      <c r="J631" s="62"/>
      <c r="X631" s="91"/>
      <c r="Y631" s="91"/>
      <c r="Z631" s="91"/>
      <c r="AA631" s="91"/>
      <c r="AB631" s="91"/>
      <c r="AC631" s="37"/>
    </row>
    <row r="632" spans="1:29">
      <c r="A632" s="102"/>
      <c r="B632" s="103"/>
      <c r="C632" s="103"/>
      <c r="D632" s="104"/>
      <c r="E632" s="61"/>
      <c r="G632" s="60"/>
      <c r="H632" s="62"/>
      <c r="I632" s="63"/>
      <c r="J632" s="62"/>
      <c r="X632" s="91"/>
      <c r="Y632" s="91"/>
      <c r="Z632" s="91"/>
      <c r="AA632" s="91"/>
      <c r="AB632" s="91"/>
      <c r="AC632" s="37"/>
    </row>
    <row r="633" spans="1:29">
      <c r="A633" s="102"/>
      <c r="B633" s="103"/>
      <c r="C633" s="103"/>
      <c r="D633" s="104"/>
      <c r="E633" s="61"/>
      <c r="G633" s="60"/>
      <c r="H633" s="62"/>
      <c r="I633" s="63"/>
      <c r="J633" s="62"/>
      <c r="X633" s="91"/>
      <c r="Y633" s="91"/>
      <c r="Z633" s="91"/>
      <c r="AA633" s="91"/>
      <c r="AB633" s="91"/>
      <c r="AC633" s="37"/>
    </row>
    <row r="634" spans="1:29">
      <c r="A634" s="102"/>
      <c r="B634" s="103"/>
      <c r="C634" s="103"/>
      <c r="D634" s="104"/>
      <c r="E634" s="61"/>
      <c r="G634" s="60"/>
      <c r="H634" s="62"/>
      <c r="I634" s="63"/>
      <c r="J634" s="62"/>
      <c r="X634" s="91"/>
      <c r="Y634" s="91"/>
      <c r="Z634" s="91"/>
      <c r="AA634" s="91"/>
      <c r="AB634" s="91"/>
      <c r="AC634" s="37"/>
    </row>
    <row r="635" spans="1:29">
      <c r="A635" s="102"/>
      <c r="B635" s="103"/>
      <c r="C635" s="103"/>
      <c r="D635" s="104"/>
      <c r="E635" s="61"/>
      <c r="G635" s="60"/>
      <c r="H635" s="62"/>
      <c r="I635" s="63"/>
      <c r="J635" s="62"/>
      <c r="X635" s="91"/>
      <c r="Y635" s="91"/>
      <c r="Z635" s="91"/>
      <c r="AA635" s="91"/>
      <c r="AB635" s="91"/>
      <c r="AC635" s="37"/>
    </row>
    <row r="636" spans="1:29">
      <c r="A636" s="102"/>
      <c r="B636" s="103"/>
      <c r="C636" s="103"/>
      <c r="D636" s="104"/>
      <c r="E636" s="61"/>
      <c r="G636" s="60"/>
      <c r="H636" s="62"/>
      <c r="I636" s="63"/>
      <c r="J636" s="62"/>
      <c r="X636" s="91"/>
      <c r="Y636" s="91"/>
      <c r="Z636" s="91"/>
      <c r="AA636" s="91"/>
      <c r="AB636" s="91"/>
      <c r="AC636" s="37"/>
    </row>
    <row r="637" spans="1:29">
      <c r="A637" s="102"/>
      <c r="B637" s="103"/>
      <c r="C637" s="103"/>
      <c r="D637" s="104"/>
      <c r="E637" s="61"/>
      <c r="G637" s="60"/>
      <c r="H637" s="62"/>
      <c r="I637" s="63"/>
      <c r="J637" s="62"/>
      <c r="X637" s="91"/>
      <c r="Y637" s="91"/>
      <c r="Z637" s="91"/>
      <c r="AA637" s="91"/>
      <c r="AB637" s="91"/>
      <c r="AC637" s="37"/>
    </row>
    <row r="638" spans="1:29">
      <c r="A638" s="102"/>
      <c r="B638" s="103"/>
      <c r="C638" s="103"/>
      <c r="D638" s="104"/>
      <c r="E638" s="61"/>
      <c r="G638" s="60"/>
      <c r="H638" s="62"/>
      <c r="I638" s="63"/>
      <c r="J638" s="62"/>
      <c r="X638" s="91"/>
      <c r="Y638" s="91"/>
      <c r="Z638" s="91"/>
      <c r="AA638" s="91"/>
      <c r="AB638" s="91"/>
      <c r="AC638" s="37"/>
    </row>
    <row r="639" spans="1:29">
      <c r="A639" s="102"/>
      <c r="B639" s="103"/>
      <c r="C639" s="103"/>
      <c r="D639" s="104"/>
      <c r="E639" s="61"/>
      <c r="G639" s="60"/>
      <c r="H639" s="62"/>
      <c r="I639" s="63"/>
      <c r="J639" s="62"/>
      <c r="X639" s="91"/>
      <c r="Y639" s="91"/>
      <c r="Z639" s="91"/>
      <c r="AA639" s="91"/>
      <c r="AB639" s="91"/>
      <c r="AC639" s="37"/>
    </row>
    <row r="640" spans="1:29">
      <c r="A640" s="102"/>
      <c r="B640" s="103"/>
      <c r="C640" s="103"/>
      <c r="D640" s="104"/>
      <c r="E640" s="61"/>
      <c r="G640" s="60"/>
      <c r="H640" s="62"/>
      <c r="I640" s="63"/>
      <c r="J640" s="62"/>
      <c r="X640" s="91"/>
      <c r="Y640" s="91"/>
      <c r="Z640" s="91"/>
      <c r="AA640" s="91"/>
      <c r="AB640" s="91"/>
      <c r="AC640" s="37"/>
    </row>
    <row r="641" spans="1:29">
      <c r="A641" s="102"/>
      <c r="B641" s="103"/>
      <c r="C641" s="103"/>
      <c r="D641" s="104"/>
      <c r="E641" s="61"/>
      <c r="G641" s="60"/>
      <c r="H641" s="62"/>
      <c r="I641" s="63"/>
      <c r="J641" s="62"/>
      <c r="X641" s="91"/>
      <c r="Y641" s="91"/>
      <c r="Z641" s="91"/>
      <c r="AA641" s="91"/>
      <c r="AB641" s="91"/>
      <c r="AC641" s="37"/>
    </row>
    <row r="642" spans="1:29">
      <c r="A642" s="102"/>
      <c r="B642" s="103"/>
      <c r="C642" s="103"/>
      <c r="D642" s="104"/>
      <c r="E642" s="61"/>
      <c r="G642" s="60"/>
      <c r="H642" s="62"/>
      <c r="I642" s="63"/>
      <c r="J642" s="62"/>
      <c r="X642" s="91"/>
      <c r="Y642" s="91"/>
      <c r="Z642" s="91"/>
      <c r="AA642" s="91"/>
      <c r="AB642" s="91"/>
      <c r="AC642" s="37"/>
    </row>
    <row r="643" spans="1:29">
      <c r="A643" s="102"/>
      <c r="B643" s="103"/>
      <c r="C643" s="103"/>
      <c r="D643" s="104"/>
      <c r="E643" s="61"/>
      <c r="G643" s="60"/>
      <c r="H643" s="62"/>
      <c r="I643" s="63"/>
      <c r="J643" s="62"/>
      <c r="X643" s="91"/>
      <c r="Y643" s="91"/>
      <c r="Z643" s="91"/>
      <c r="AA643" s="91"/>
      <c r="AB643" s="91"/>
      <c r="AC643" s="37"/>
    </row>
    <row r="644" spans="1:29">
      <c r="A644" s="102"/>
      <c r="B644" s="103"/>
      <c r="C644" s="103"/>
      <c r="D644" s="104"/>
      <c r="E644" s="61"/>
      <c r="G644" s="60"/>
      <c r="H644" s="62"/>
      <c r="I644" s="63"/>
      <c r="J644" s="62"/>
      <c r="X644" s="91"/>
      <c r="Y644" s="91"/>
      <c r="Z644" s="91"/>
      <c r="AA644" s="91"/>
      <c r="AB644" s="91"/>
      <c r="AC644" s="37"/>
    </row>
    <row r="645" spans="1:29">
      <c r="A645" s="102"/>
      <c r="B645" s="103"/>
      <c r="C645" s="103"/>
      <c r="D645" s="104"/>
      <c r="E645" s="61"/>
      <c r="G645" s="60"/>
      <c r="H645" s="62"/>
      <c r="I645" s="63"/>
      <c r="J645" s="62"/>
      <c r="X645" s="91"/>
      <c r="Y645" s="91"/>
      <c r="Z645" s="91"/>
      <c r="AA645" s="91"/>
      <c r="AB645" s="91"/>
      <c r="AC645" s="37"/>
    </row>
    <row r="646" spans="1:29">
      <c r="A646" s="102"/>
      <c r="B646" s="103"/>
      <c r="C646" s="103"/>
      <c r="D646" s="104"/>
      <c r="E646" s="61"/>
      <c r="G646" s="60"/>
      <c r="H646" s="62"/>
      <c r="I646" s="63"/>
      <c r="J646" s="62"/>
      <c r="X646" s="91"/>
      <c r="Y646" s="91"/>
      <c r="Z646" s="91"/>
      <c r="AA646" s="91"/>
      <c r="AB646" s="91"/>
      <c r="AC646" s="37"/>
    </row>
    <row r="647" spans="1:29">
      <c r="A647" s="102"/>
      <c r="B647" s="103"/>
      <c r="C647" s="103"/>
      <c r="D647" s="104"/>
      <c r="E647" s="61"/>
      <c r="G647" s="60"/>
      <c r="H647" s="62"/>
      <c r="I647" s="63"/>
      <c r="J647" s="62"/>
      <c r="X647" s="91"/>
      <c r="Y647" s="91"/>
      <c r="Z647" s="91"/>
      <c r="AA647" s="91"/>
      <c r="AB647" s="91"/>
      <c r="AC647" s="37"/>
    </row>
    <row r="648" spans="1:29">
      <c r="A648" s="102"/>
      <c r="B648" s="103"/>
      <c r="C648" s="103"/>
      <c r="D648" s="104"/>
      <c r="E648" s="61"/>
      <c r="G648" s="60"/>
      <c r="H648" s="62"/>
      <c r="I648" s="63"/>
      <c r="J648" s="62"/>
      <c r="X648" s="91"/>
      <c r="Y648" s="91"/>
      <c r="Z648" s="91"/>
      <c r="AA648" s="91"/>
      <c r="AB648" s="91"/>
      <c r="AC648" s="37"/>
    </row>
    <row r="649" spans="1:29">
      <c r="A649" s="102"/>
      <c r="B649" s="103"/>
      <c r="C649" s="103"/>
      <c r="D649" s="104"/>
      <c r="E649" s="61"/>
      <c r="G649" s="60"/>
      <c r="H649" s="62"/>
      <c r="I649" s="63"/>
      <c r="J649" s="62"/>
      <c r="X649" s="91"/>
      <c r="Y649" s="91"/>
      <c r="Z649" s="91"/>
      <c r="AA649" s="91"/>
      <c r="AB649" s="91"/>
      <c r="AC649" s="37"/>
    </row>
    <row r="650" spans="1:29">
      <c r="A650" s="102"/>
      <c r="B650" s="103"/>
      <c r="C650" s="103"/>
      <c r="D650" s="104"/>
      <c r="E650" s="61"/>
      <c r="G650" s="60"/>
      <c r="H650" s="62"/>
      <c r="I650" s="63"/>
      <c r="J650" s="62"/>
      <c r="X650" s="91"/>
      <c r="Y650" s="91"/>
      <c r="Z650" s="91"/>
      <c r="AA650" s="91"/>
      <c r="AB650" s="91"/>
      <c r="AC650" s="37"/>
    </row>
    <row r="651" spans="1:29">
      <c r="A651" s="102"/>
      <c r="B651" s="103"/>
      <c r="C651" s="103"/>
      <c r="D651" s="104"/>
      <c r="E651" s="61"/>
      <c r="G651" s="60"/>
      <c r="H651" s="62"/>
      <c r="I651" s="63"/>
      <c r="J651" s="62"/>
      <c r="X651" s="91"/>
      <c r="Y651" s="91"/>
      <c r="Z651" s="91"/>
      <c r="AA651" s="91"/>
      <c r="AB651" s="91"/>
      <c r="AC651" s="37"/>
    </row>
    <row r="652" spans="1:29">
      <c r="A652" s="102"/>
      <c r="B652" s="103"/>
      <c r="C652" s="103"/>
      <c r="D652" s="104"/>
      <c r="E652" s="61"/>
      <c r="G652" s="60"/>
      <c r="H652" s="62"/>
      <c r="I652" s="63"/>
      <c r="J652" s="62"/>
      <c r="X652" s="91"/>
      <c r="Y652" s="91"/>
      <c r="Z652" s="91"/>
      <c r="AA652" s="91"/>
      <c r="AB652" s="91"/>
      <c r="AC652" s="37"/>
    </row>
    <row r="653" spans="1:29">
      <c r="A653" s="102"/>
      <c r="B653" s="103"/>
      <c r="C653" s="103"/>
      <c r="D653" s="104"/>
      <c r="E653" s="61"/>
      <c r="G653" s="60"/>
      <c r="H653" s="62"/>
      <c r="I653" s="63"/>
      <c r="J653" s="62"/>
      <c r="X653" s="91"/>
      <c r="Y653" s="91"/>
      <c r="Z653" s="91"/>
      <c r="AA653" s="91"/>
      <c r="AB653" s="91"/>
      <c r="AC653" s="37"/>
    </row>
    <row r="654" spans="1:29">
      <c r="A654" s="102"/>
      <c r="B654" s="103"/>
      <c r="C654" s="103"/>
      <c r="D654" s="104"/>
      <c r="E654" s="61"/>
      <c r="G654" s="60"/>
      <c r="H654" s="62"/>
      <c r="I654" s="63"/>
      <c r="J654" s="62"/>
      <c r="X654" s="91"/>
      <c r="Y654" s="91"/>
      <c r="Z654" s="91"/>
      <c r="AA654" s="91"/>
      <c r="AB654" s="91"/>
      <c r="AC654" s="37"/>
    </row>
    <row r="655" spans="1:29">
      <c r="A655" s="102"/>
      <c r="B655" s="103"/>
      <c r="C655" s="103"/>
      <c r="D655" s="104"/>
      <c r="E655" s="61"/>
      <c r="G655" s="60"/>
      <c r="H655" s="62"/>
      <c r="I655" s="63"/>
      <c r="J655" s="62"/>
      <c r="X655" s="91"/>
      <c r="Y655" s="91"/>
      <c r="Z655" s="91"/>
      <c r="AA655" s="91"/>
      <c r="AB655" s="91"/>
      <c r="AC655" s="37"/>
    </row>
    <row r="656" spans="1:29">
      <c r="A656" s="102"/>
      <c r="B656" s="103"/>
      <c r="C656" s="103"/>
      <c r="D656" s="104"/>
      <c r="E656" s="61"/>
      <c r="G656" s="60"/>
      <c r="H656" s="62"/>
      <c r="I656" s="63"/>
      <c r="J656" s="62"/>
      <c r="X656" s="91"/>
      <c r="Y656" s="91"/>
      <c r="Z656" s="91"/>
      <c r="AA656" s="91"/>
      <c r="AB656" s="91"/>
      <c r="AC656" s="37"/>
    </row>
    <row r="657" spans="1:29">
      <c r="A657" s="102"/>
      <c r="B657" s="103"/>
      <c r="C657" s="103"/>
      <c r="D657" s="104"/>
      <c r="E657" s="61"/>
      <c r="G657" s="60"/>
      <c r="H657" s="62"/>
      <c r="I657" s="63"/>
      <c r="J657" s="62"/>
      <c r="X657" s="91"/>
      <c r="Y657" s="91"/>
      <c r="Z657" s="91"/>
      <c r="AA657" s="91"/>
      <c r="AB657" s="91"/>
      <c r="AC657" s="37"/>
    </row>
    <row r="658" spans="1:29">
      <c r="A658" s="102"/>
      <c r="B658" s="103"/>
      <c r="C658" s="103"/>
      <c r="D658" s="104"/>
      <c r="E658" s="61"/>
      <c r="G658" s="60"/>
      <c r="H658" s="62"/>
      <c r="I658" s="63"/>
      <c r="J658" s="62"/>
      <c r="X658" s="91"/>
      <c r="Y658" s="91"/>
      <c r="Z658" s="91"/>
      <c r="AA658" s="91"/>
      <c r="AB658" s="91"/>
      <c r="AC658" s="37"/>
    </row>
    <row r="659" spans="1:29">
      <c r="A659" s="102"/>
      <c r="B659" s="103"/>
      <c r="C659" s="103"/>
      <c r="D659" s="104"/>
      <c r="E659" s="61"/>
      <c r="G659" s="60"/>
      <c r="H659" s="62"/>
      <c r="I659" s="63"/>
      <c r="J659" s="62"/>
      <c r="X659" s="91"/>
      <c r="Y659" s="91"/>
      <c r="Z659" s="91"/>
      <c r="AA659" s="91"/>
      <c r="AB659" s="91"/>
      <c r="AC659" s="37"/>
    </row>
    <row r="660" spans="1:29">
      <c r="A660" s="102"/>
      <c r="B660" s="103"/>
      <c r="C660" s="103"/>
      <c r="D660" s="104"/>
      <c r="E660" s="61"/>
      <c r="G660" s="60"/>
      <c r="H660" s="62"/>
      <c r="I660" s="63"/>
      <c r="J660" s="62"/>
      <c r="X660" s="91"/>
      <c r="Y660" s="91"/>
      <c r="Z660" s="91"/>
      <c r="AA660" s="91"/>
      <c r="AB660" s="91"/>
      <c r="AC660" s="37"/>
    </row>
    <row r="661" spans="1:29">
      <c r="A661" s="102"/>
      <c r="B661" s="103"/>
      <c r="C661" s="103"/>
      <c r="D661" s="104"/>
      <c r="E661" s="61"/>
      <c r="G661" s="60"/>
      <c r="H661" s="62"/>
      <c r="I661" s="63"/>
      <c r="J661" s="62"/>
      <c r="X661" s="91"/>
      <c r="Y661" s="91"/>
      <c r="Z661" s="91"/>
      <c r="AA661" s="91"/>
      <c r="AB661" s="91"/>
      <c r="AC661" s="37"/>
    </row>
    <row r="662" spans="1:29">
      <c r="A662" s="102"/>
      <c r="B662" s="103"/>
      <c r="C662" s="103"/>
      <c r="D662" s="104"/>
      <c r="E662" s="61"/>
      <c r="G662" s="60"/>
      <c r="H662" s="62"/>
      <c r="I662" s="63"/>
      <c r="J662" s="62"/>
      <c r="X662" s="91"/>
      <c r="Y662" s="91"/>
      <c r="Z662" s="91"/>
      <c r="AA662" s="91"/>
      <c r="AB662" s="91"/>
      <c r="AC662" s="37"/>
    </row>
    <row r="663" spans="1:29">
      <c r="A663" s="102"/>
      <c r="B663" s="103"/>
      <c r="C663" s="103"/>
      <c r="D663" s="104"/>
      <c r="E663" s="61"/>
      <c r="G663" s="60"/>
      <c r="H663" s="62"/>
      <c r="I663" s="63"/>
      <c r="J663" s="62"/>
      <c r="X663" s="91"/>
      <c r="Y663" s="91"/>
      <c r="Z663" s="91"/>
      <c r="AA663" s="91"/>
      <c r="AB663" s="91"/>
      <c r="AC663" s="37"/>
    </row>
    <row r="664" spans="1:29">
      <c r="A664" s="102"/>
      <c r="B664" s="103"/>
      <c r="C664" s="103"/>
      <c r="D664" s="104"/>
      <c r="E664" s="61"/>
      <c r="G664" s="60"/>
      <c r="H664" s="62"/>
      <c r="I664" s="63"/>
      <c r="J664" s="62"/>
      <c r="X664" s="91"/>
      <c r="Y664" s="91"/>
      <c r="Z664" s="91"/>
      <c r="AA664" s="91"/>
      <c r="AB664" s="91"/>
      <c r="AC664" s="37"/>
    </row>
    <row r="665" spans="1:29">
      <c r="A665" s="102"/>
      <c r="B665" s="103"/>
      <c r="C665" s="103"/>
      <c r="D665" s="104"/>
      <c r="E665" s="61"/>
      <c r="G665" s="60"/>
      <c r="H665" s="62"/>
      <c r="I665" s="63"/>
      <c r="J665" s="62"/>
      <c r="X665" s="91"/>
      <c r="Y665" s="91"/>
      <c r="Z665" s="91"/>
      <c r="AA665" s="91"/>
      <c r="AB665" s="91"/>
      <c r="AC665" s="37"/>
    </row>
    <row r="666" spans="1:29">
      <c r="A666" s="102"/>
      <c r="B666" s="103"/>
      <c r="C666" s="103"/>
      <c r="D666" s="104"/>
      <c r="E666" s="61"/>
      <c r="G666" s="60"/>
      <c r="H666" s="62"/>
      <c r="I666" s="63"/>
      <c r="J666" s="62"/>
      <c r="X666" s="91"/>
      <c r="Y666" s="91"/>
      <c r="Z666" s="91"/>
      <c r="AA666" s="91"/>
      <c r="AB666" s="91"/>
      <c r="AC666" s="37"/>
    </row>
    <row r="667" spans="1:29">
      <c r="A667" s="102"/>
      <c r="B667" s="103"/>
      <c r="C667" s="103"/>
      <c r="D667" s="104"/>
      <c r="E667" s="61"/>
      <c r="G667" s="60"/>
      <c r="H667" s="62"/>
      <c r="I667" s="63"/>
      <c r="J667" s="62"/>
      <c r="X667" s="91"/>
      <c r="Y667" s="91"/>
      <c r="Z667" s="91"/>
      <c r="AA667" s="91"/>
      <c r="AB667" s="91"/>
      <c r="AC667" s="37"/>
    </row>
    <row r="668" spans="1:29">
      <c r="A668" s="102"/>
      <c r="B668" s="103"/>
      <c r="C668" s="103"/>
      <c r="D668" s="104"/>
      <c r="E668" s="61"/>
      <c r="G668" s="60"/>
      <c r="H668" s="62"/>
      <c r="I668" s="63"/>
      <c r="J668" s="62"/>
      <c r="X668" s="91"/>
      <c r="Y668" s="91"/>
      <c r="Z668" s="91"/>
      <c r="AA668" s="91"/>
      <c r="AB668" s="91"/>
      <c r="AC668" s="37"/>
    </row>
    <row r="669" spans="1:29">
      <c r="A669" s="102"/>
      <c r="B669" s="103"/>
      <c r="C669" s="103"/>
      <c r="D669" s="104"/>
      <c r="E669" s="61"/>
      <c r="G669" s="60"/>
      <c r="H669" s="62"/>
      <c r="I669" s="63"/>
      <c r="J669" s="62"/>
      <c r="X669" s="91"/>
      <c r="Y669" s="91"/>
      <c r="Z669" s="91"/>
      <c r="AA669" s="91"/>
      <c r="AB669" s="91"/>
      <c r="AC669" s="37"/>
    </row>
    <row r="670" spans="1:29">
      <c r="A670" s="102"/>
      <c r="B670" s="103"/>
      <c r="C670" s="103"/>
      <c r="D670" s="104"/>
      <c r="E670" s="61"/>
      <c r="G670" s="60"/>
      <c r="H670" s="62"/>
      <c r="I670" s="63"/>
      <c r="J670" s="62"/>
      <c r="X670" s="91"/>
      <c r="Y670" s="91"/>
      <c r="Z670" s="91"/>
      <c r="AA670" s="91"/>
      <c r="AB670" s="91"/>
      <c r="AC670" s="37"/>
    </row>
    <row r="671" spans="1:29">
      <c r="A671" s="102"/>
      <c r="B671" s="103"/>
      <c r="C671" s="103"/>
      <c r="D671" s="104"/>
      <c r="E671" s="61"/>
      <c r="G671" s="60"/>
      <c r="H671" s="62"/>
      <c r="I671" s="63"/>
      <c r="J671" s="62"/>
      <c r="X671" s="91"/>
      <c r="Y671" s="91"/>
      <c r="Z671" s="91"/>
      <c r="AA671" s="91"/>
      <c r="AB671" s="91"/>
      <c r="AC671" s="37"/>
    </row>
    <row r="672" spans="1:29">
      <c r="A672" s="102"/>
      <c r="B672" s="103"/>
      <c r="C672" s="103"/>
      <c r="D672" s="104"/>
      <c r="E672" s="61"/>
      <c r="G672" s="60"/>
      <c r="H672" s="62"/>
      <c r="I672" s="63"/>
      <c r="J672" s="62"/>
      <c r="X672" s="91"/>
      <c r="Y672" s="91"/>
      <c r="Z672" s="91"/>
      <c r="AA672" s="91"/>
      <c r="AB672" s="91"/>
      <c r="AC672" s="37"/>
    </row>
    <row r="673" spans="1:29">
      <c r="A673" s="102"/>
      <c r="B673" s="103"/>
      <c r="C673" s="103"/>
      <c r="D673" s="104"/>
      <c r="E673" s="61"/>
      <c r="G673" s="60"/>
      <c r="H673" s="62"/>
      <c r="I673" s="63"/>
      <c r="J673" s="62"/>
      <c r="X673" s="91"/>
      <c r="Y673" s="91"/>
      <c r="Z673" s="91"/>
      <c r="AA673" s="91"/>
      <c r="AB673" s="91"/>
      <c r="AC673" s="37"/>
    </row>
    <row r="674" spans="1:29">
      <c r="A674" s="102"/>
      <c r="B674" s="103"/>
      <c r="C674" s="103"/>
      <c r="D674" s="104"/>
      <c r="E674" s="61"/>
      <c r="G674" s="60"/>
      <c r="H674" s="62"/>
      <c r="I674" s="63"/>
      <c r="J674" s="62"/>
      <c r="X674" s="91"/>
      <c r="Y674" s="91"/>
      <c r="Z674" s="91"/>
      <c r="AA674" s="91"/>
      <c r="AB674" s="91"/>
      <c r="AC674" s="37"/>
    </row>
    <row r="675" spans="1:29">
      <c r="A675" s="102"/>
      <c r="B675" s="103"/>
      <c r="C675" s="103"/>
      <c r="D675" s="104"/>
      <c r="E675" s="61"/>
      <c r="G675" s="60"/>
      <c r="H675" s="62"/>
      <c r="I675" s="63"/>
      <c r="J675" s="62"/>
      <c r="X675" s="91"/>
      <c r="Y675" s="91"/>
      <c r="Z675" s="91"/>
      <c r="AA675" s="91"/>
      <c r="AB675" s="91"/>
      <c r="AC675" s="37"/>
    </row>
    <row r="676" spans="1:29">
      <c r="A676" s="102"/>
      <c r="B676" s="103"/>
      <c r="C676" s="103"/>
      <c r="D676" s="104"/>
      <c r="E676" s="61"/>
      <c r="G676" s="60"/>
      <c r="H676" s="62"/>
      <c r="I676" s="63"/>
      <c r="J676" s="62"/>
      <c r="X676" s="91"/>
      <c r="Y676" s="91"/>
      <c r="Z676" s="91"/>
      <c r="AA676" s="91"/>
      <c r="AB676" s="91"/>
      <c r="AC676" s="37"/>
    </row>
    <row r="677" spans="1:29">
      <c r="A677" s="102"/>
      <c r="B677" s="103"/>
      <c r="C677" s="103"/>
      <c r="D677" s="104"/>
      <c r="E677" s="61"/>
      <c r="G677" s="60"/>
      <c r="H677" s="62"/>
      <c r="I677" s="63"/>
      <c r="J677" s="62"/>
      <c r="X677" s="91"/>
      <c r="Y677" s="91"/>
      <c r="Z677" s="91"/>
      <c r="AA677" s="91"/>
      <c r="AB677" s="91"/>
      <c r="AC677" s="37"/>
    </row>
    <row r="678" spans="1:29">
      <c r="A678" s="102"/>
      <c r="B678" s="103"/>
      <c r="C678" s="103"/>
      <c r="D678" s="104"/>
      <c r="E678" s="61"/>
      <c r="G678" s="60"/>
      <c r="H678" s="62"/>
      <c r="I678" s="63"/>
      <c r="J678" s="62"/>
      <c r="X678" s="91"/>
      <c r="Y678" s="91"/>
      <c r="Z678" s="91"/>
      <c r="AA678" s="91"/>
      <c r="AB678" s="91"/>
      <c r="AC678" s="37"/>
    </row>
    <row r="679" spans="1:29">
      <c r="A679" s="102"/>
      <c r="B679" s="103"/>
      <c r="C679" s="103"/>
      <c r="D679" s="104"/>
      <c r="E679" s="61"/>
      <c r="G679" s="60"/>
      <c r="H679" s="62"/>
      <c r="I679" s="63"/>
      <c r="J679" s="62"/>
      <c r="X679" s="91"/>
      <c r="Y679" s="91"/>
      <c r="Z679" s="91"/>
      <c r="AA679" s="91"/>
      <c r="AB679" s="91"/>
      <c r="AC679" s="37"/>
    </row>
    <row r="680" spans="1:29">
      <c r="A680" s="102"/>
      <c r="B680" s="103"/>
      <c r="C680" s="103"/>
      <c r="D680" s="104"/>
      <c r="E680" s="61"/>
      <c r="G680" s="60"/>
      <c r="H680" s="62"/>
      <c r="I680" s="63"/>
      <c r="J680" s="62"/>
      <c r="X680" s="91"/>
      <c r="Y680" s="91"/>
      <c r="Z680" s="91"/>
      <c r="AA680" s="91"/>
      <c r="AB680" s="91"/>
      <c r="AC680" s="37"/>
    </row>
    <row r="681" spans="1:29">
      <c r="A681" s="102"/>
      <c r="B681" s="103"/>
      <c r="C681" s="103"/>
      <c r="D681" s="104"/>
      <c r="E681" s="61"/>
      <c r="G681" s="60"/>
      <c r="H681" s="62"/>
      <c r="I681" s="63"/>
      <c r="J681" s="62"/>
      <c r="X681" s="91"/>
      <c r="Y681" s="91"/>
      <c r="Z681" s="91"/>
      <c r="AA681" s="91"/>
      <c r="AB681" s="91"/>
      <c r="AC681" s="37"/>
    </row>
    <row r="682" spans="1:29">
      <c r="A682" s="102"/>
      <c r="B682" s="103"/>
      <c r="C682" s="103"/>
      <c r="D682" s="104"/>
      <c r="E682" s="61"/>
      <c r="G682" s="60"/>
      <c r="H682" s="62"/>
      <c r="I682" s="63"/>
      <c r="J682" s="62"/>
      <c r="X682" s="91"/>
      <c r="Y682" s="91"/>
      <c r="Z682" s="91"/>
      <c r="AA682" s="91"/>
      <c r="AB682" s="91"/>
      <c r="AC682" s="37"/>
    </row>
    <row r="683" spans="1:29">
      <c r="A683" s="102"/>
      <c r="B683" s="103"/>
      <c r="C683" s="103"/>
      <c r="D683" s="104"/>
      <c r="E683" s="61"/>
      <c r="G683" s="60"/>
      <c r="H683" s="62"/>
      <c r="I683" s="63"/>
      <c r="J683" s="62"/>
      <c r="X683" s="91"/>
      <c r="Y683" s="91"/>
      <c r="Z683" s="91"/>
      <c r="AA683" s="91"/>
      <c r="AB683" s="91"/>
      <c r="AC683" s="37"/>
    </row>
    <row r="684" spans="1:29">
      <c r="A684" s="102"/>
      <c r="B684" s="103"/>
      <c r="C684" s="103"/>
      <c r="D684" s="104"/>
      <c r="E684" s="61"/>
      <c r="G684" s="60"/>
      <c r="H684" s="62"/>
      <c r="I684" s="63"/>
      <c r="J684" s="62"/>
      <c r="X684" s="91"/>
      <c r="Y684" s="91"/>
      <c r="Z684" s="91"/>
      <c r="AA684" s="91"/>
      <c r="AB684" s="91"/>
      <c r="AC684" s="37"/>
    </row>
    <row r="685" spans="1:29">
      <c r="A685" s="102"/>
      <c r="B685" s="103"/>
      <c r="C685" s="103"/>
      <c r="D685" s="104"/>
      <c r="E685" s="61"/>
      <c r="G685" s="60"/>
      <c r="H685" s="62"/>
      <c r="I685" s="63"/>
      <c r="J685" s="62"/>
      <c r="X685" s="91"/>
      <c r="Y685" s="91"/>
      <c r="Z685" s="91"/>
      <c r="AA685" s="91"/>
      <c r="AB685" s="91"/>
      <c r="AC685" s="37"/>
    </row>
    <row r="686" spans="1:29">
      <c r="A686" s="102"/>
      <c r="B686" s="103"/>
      <c r="C686" s="103"/>
      <c r="D686" s="104"/>
      <c r="E686" s="61"/>
      <c r="G686" s="60"/>
      <c r="H686" s="62"/>
      <c r="I686" s="63"/>
      <c r="J686" s="62"/>
      <c r="X686" s="91"/>
      <c r="Y686" s="91"/>
      <c r="Z686" s="91"/>
      <c r="AA686" s="91"/>
      <c r="AB686" s="91"/>
      <c r="AC686" s="37"/>
    </row>
    <row r="687" spans="1:29">
      <c r="A687" s="102"/>
      <c r="B687" s="103"/>
      <c r="C687" s="103"/>
      <c r="D687" s="104"/>
      <c r="E687" s="61"/>
      <c r="G687" s="60"/>
      <c r="H687" s="62"/>
      <c r="I687" s="63"/>
      <c r="J687" s="62"/>
      <c r="X687" s="91"/>
      <c r="Y687" s="91"/>
      <c r="Z687" s="91"/>
      <c r="AA687" s="91"/>
      <c r="AB687" s="91"/>
      <c r="AC687" s="37"/>
    </row>
    <row r="688" spans="1:29">
      <c r="A688" s="102"/>
      <c r="B688" s="103"/>
      <c r="C688" s="103"/>
      <c r="D688" s="104"/>
      <c r="E688" s="61"/>
      <c r="G688" s="60"/>
      <c r="H688" s="62"/>
      <c r="I688" s="63"/>
      <c r="J688" s="62"/>
      <c r="X688" s="91"/>
      <c r="Y688" s="91"/>
      <c r="Z688" s="91"/>
      <c r="AA688" s="91"/>
      <c r="AB688" s="91"/>
      <c r="AC688" s="37"/>
    </row>
    <row r="689" spans="1:29">
      <c r="A689" s="102"/>
      <c r="B689" s="103"/>
      <c r="C689" s="103"/>
      <c r="D689" s="104"/>
      <c r="E689" s="61"/>
      <c r="G689" s="60"/>
      <c r="H689" s="62"/>
      <c r="I689" s="63"/>
      <c r="J689" s="62"/>
      <c r="X689" s="91"/>
      <c r="Y689" s="91"/>
      <c r="Z689" s="91"/>
      <c r="AA689" s="91"/>
      <c r="AB689" s="91"/>
      <c r="AC689" s="37"/>
    </row>
    <row r="690" spans="1:29">
      <c r="A690" s="102"/>
      <c r="B690" s="103"/>
      <c r="C690" s="103"/>
      <c r="D690" s="104"/>
      <c r="E690" s="61"/>
      <c r="G690" s="60"/>
      <c r="H690" s="62"/>
      <c r="I690" s="63"/>
      <c r="J690" s="62"/>
      <c r="X690" s="91"/>
      <c r="Y690" s="91"/>
      <c r="Z690" s="91"/>
      <c r="AA690" s="91"/>
      <c r="AB690" s="91"/>
      <c r="AC690" s="37"/>
    </row>
    <row r="691" spans="1:29">
      <c r="A691" s="102"/>
      <c r="B691" s="103"/>
      <c r="C691" s="103"/>
      <c r="D691" s="104"/>
      <c r="E691" s="61"/>
      <c r="G691" s="60"/>
      <c r="H691" s="62"/>
      <c r="I691" s="63"/>
      <c r="J691" s="62"/>
      <c r="X691" s="91"/>
      <c r="Y691" s="91"/>
      <c r="Z691" s="91"/>
      <c r="AA691" s="91"/>
      <c r="AB691" s="91"/>
      <c r="AC691" s="37"/>
    </row>
    <row r="692" spans="1:29">
      <c r="A692" s="102"/>
      <c r="B692" s="103"/>
      <c r="C692" s="103"/>
      <c r="D692" s="104"/>
      <c r="E692" s="61"/>
      <c r="G692" s="60"/>
      <c r="H692" s="62"/>
      <c r="I692" s="63"/>
      <c r="J692" s="62"/>
      <c r="X692" s="91"/>
      <c r="Y692" s="91"/>
      <c r="Z692" s="91"/>
      <c r="AA692" s="91"/>
      <c r="AB692" s="91"/>
      <c r="AC692" s="37"/>
    </row>
    <row r="693" spans="1:29">
      <c r="A693" s="102"/>
      <c r="B693" s="103"/>
      <c r="C693" s="103"/>
      <c r="D693" s="104"/>
      <c r="E693" s="61"/>
      <c r="G693" s="60"/>
      <c r="H693" s="62"/>
      <c r="I693" s="63"/>
      <c r="J693" s="62"/>
      <c r="X693" s="91"/>
      <c r="Y693" s="91"/>
      <c r="Z693" s="91"/>
      <c r="AA693" s="91"/>
      <c r="AB693" s="91"/>
      <c r="AC693" s="37"/>
    </row>
    <row r="694" spans="1:29">
      <c r="A694" s="102"/>
      <c r="B694" s="103"/>
      <c r="C694" s="103"/>
      <c r="D694" s="104"/>
      <c r="E694" s="61"/>
      <c r="G694" s="60"/>
      <c r="H694" s="62"/>
      <c r="I694" s="63"/>
      <c r="J694" s="62"/>
      <c r="X694" s="91"/>
      <c r="Y694" s="91"/>
      <c r="Z694" s="91"/>
      <c r="AA694" s="91"/>
      <c r="AB694" s="91"/>
      <c r="AC694" s="37"/>
    </row>
    <row r="695" spans="1:29">
      <c r="A695" s="102"/>
      <c r="B695" s="103"/>
      <c r="C695" s="103"/>
      <c r="D695" s="104"/>
      <c r="E695" s="61"/>
      <c r="G695" s="60"/>
      <c r="H695" s="62"/>
      <c r="I695" s="63"/>
      <c r="J695" s="62"/>
      <c r="X695" s="91"/>
      <c r="Y695" s="91"/>
      <c r="Z695" s="91"/>
      <c r="AA695" s="91"/>
      <c r="AB695" s="91"/>
      <c r="AC695" s="37"/>
    </row>
    <row r="696" spans="1:29">
      <c r="A696" s="102"/>
      <c r="B696" s="103"/>
      <c r="C696" s="103"/>
      <c r="D696" s="104"/>
      <c r="E696" s="61"/>
      <c r="G696" s="60"/>
      <c r="H696" s="62"/>
      <c r="I696" s="63"/>
      <c r="J696" s="62"/>
      <c r="X696" s="91"/>
      <c r="Y696" s="91"/>
      <c r="Z696" s="91"/>
      <c r="AA696" s="91"/>
      <c r="AB696" s="91"/>
      <c r="AC696" s="37"/>
    </row>
    <row r="697" spans="1:29">
      <c r="A697" s="102"/>
      <c r="B697" s="103"/>
      <c r="C697" s="103"/>
      <c r="D697" s="104"/>
      <c r="E697" s="61"/>
      <c r="G697" s="60"/>
      <c r="H697" s="62"/>
      <c r="I697" s="63"/>
      <c r="J697" s="62"/>
      <c r="X697" s="91"/>
      <c r="Y697" s="91"/>
      <c r="Z697" s="91"/>
      <c r="AA697" s="91"/>
      <c r="AB697" s="91"/>
      <c r="AC697" s="37"/>
    </row>
    <row r="698" spans="1:29">
      <c r="A698" s="102"/>
      <c r="B698" s="103"/>
      <c r="C698" s="103"/>
      <c r="D698" s="104"/>
      <c r="E698" s="61"/>
      <c r="G698" s="60"/>
      <c r="H698" s="62"/>
      <c r="I698" s="63"/>
      <c r="J698" s="62"/>
      <c r="X698" s="91"/>
      <c r="Y698" s="91"/>
      <c r="Z698" s="91"/>
      <c r="AA698" s="91"/>
      <c r="AB698" s="91"/>
      <c r="AC698" s="37"/>
    </row>
    <row r="699" spans="1:29">
      <c r="A699" s="102"/>
      <c r="B699" s="103"/>
      <c r="C699" s="103"/>
      <c r="D699" s="104"/>
      <c r="E699" s="61"/>
      <c r="G699" s="60"/>
      <c r="H699" s="62"/>
      <c r="I699" s="63"/>
      <c r="J699" s="62"/>
      <c r="X699" s="91"/>
      <c r="Y699" s="91"/>
      <c r="Z699" s="91"/>
      <c r="AA699" s="91"/>
      <c r="AB699" s="91"/>
      <c r="AC699" s="37"/>
    </row>
    <row r="700" spans="1:29">
      <c r="A700" s="102"/>
      <c r="B700" s="103"/>
      <c r="C700" s="103"/>
      <c r="D700" s="104"/>
      <c r="E700" s="61"/>
      <c r="G700" s="60"/>
      <c r="H700" s="62"/>
      <c r="I700" s="63"/>
      <c r="J700" s="62"/>
      <c r="X700" s="91"/>
      <c r="Y700" s="91"/>
      <c r="Z700" s="91"/>
      <c r="AA700" s="91"/>
      <c r="AB700" s="91"/>
      <c r="AC700" s="37"/>
    </row>
    <row r="701" spans="1:29">
      <c r="A701" s="102"/>
      <c r="B701" s="103"/>
      <c r="C701" s="103"/>
      <c r="D701" s="104"/>
      <c r="E701" s="61"/>
      <c r="G701" s="60"/>
      <c r="H701" s="62"/>
      <c r="I701" s="63"/>
      <c r="J701" s="62"/>
      <c r="X701" s="91"/>
      <c r="Y701" s="91"/>
      <c r="Z701" s="91"/>
      <c r="AA701" s="91"/>
      <c r="AB701" s="91"/>
      <c r="AC701" s="37"/>
    </row>
    <row r="702" spans="1:29">
      <c r="A702" s="102"/>
      <c r="B702" s="103"/>
      <c r="C702" s="103"/>
      <c r="D702" s="104"/>
      <c r="E702" s="61"/>
      <c r="G702" s="60"/>
      <c r="H702" s="62"/>
      <c r="I702" s="63"/>
      <c r="J702" s="62"/>
      <c r="X702" s="91"/>
      <c r="Y702" s="91"/>
      <c r="Z702" s="91"/>
      <c r="AA702" s="91"/>
      <c r="AB702" s="91"/>
      <c r="AC702" s="37"/>
    </row>
    <row r="703" spans="1:29">
      <c r="A703" s="102"/>
      <c r="B703" s="103"/>
      <c r="C703" s="103"/>
      <c r="D703" s="104"/>
      <c r="E703" s="61"/>
      <c r="G703" s="60"/>
      <c r="H703" s="62"/>
      <c r="I703" s="63"/>
      <c r="J703" s="62"/>
      <c r="X703" s="91"/>
      <c r="Y703" s="91"/>
      <c r="Z703" s="91"/>
      <c r="AA703" s="91"/>
      <c r="AB703" s="91"/>
      <c r="AC703" s="37"/>
    </row>
    <row r="704" spans="1:29">
      <c r="A704" s="102"/>
      <c r="B704" s="103"/>
      <c r="C704" s="103"/>
      <c r="D704" s="104"/>
      <c r="E704" s="61"/>
      <c r="G704" s="60"/>
      <c r="H704" s="62"/>
      <c r="I704" s="63"/>
      <c r="J704" s="62"/>
      <c r="X704" s="91"/>
      <c r="Y704" s="91"/>
      <c r="Z704" s="91"/>
      <c r="AA704" s="91"/>
      <c r="AB704" s="91"/>
      <c r="AC704" s="37"/>
    </row>
    <row r="705" spans="1:29">
      <c r="A705" s="102"/>
      <c r="B705" s="103"/>
      <c r="C705" s="103"/>
      <c r="D705" s="104"/>
      <c r="E705" s="61"/>
      <c r="G705" s="60"/>
      <c r="H705" s="62"/>
      <c r="I705" s="63"/>
      <c r="J705" s="62"/>
      <c r="X705" s="91"/>
      <c r="Y705" s="91"/>
      <c r="Z705" s="91"/>
      <c r="AA705" s="91"/>
      <c r="AB705" s="91"/>
      <c r="AC705" s="37"/>
    </row>
    <row r="706" spans="1:29">
      <c r="A706" s="102"/>
      <c r="B706" s="103"/>
      <c r="C706" s="103"/>
      <c r="D706" s="104"/>
      <c r="E706" s="61"/>
      <c r="G706" s="60"/>
      <c r="H706" s="62"/>
      <c r="I706" s="63"/>
      <c r="J706" s="62"/>
      <c r="X706" s="91"/>
      <c r="Y706" s="91"/>
      <c r="Z706" s="91"/>
      <c r="AA706" s="91"/>
      <c r="AB706" s="91"/>
      <c r="AC706" s="37"/>
    </row>
    <row r="707" spans="1:29">
      <c r="A707" s="102"/>
      <c r="B707" s="103"/>
      <c r="C707" s="103"/>
      <c r="D707" s="104"/>
      <c r="E707" s="61"/>
      <c r="G707" s="60"/>
      <c r="H707" s="62"/>
      <c r="I707" s="63"/>
      <c r="J707" s="62"/>
      <c r="X707" s="91"/>
      <c r="Y707" s="91"/>
      <c r="Z707" s="91"/>
      <c r="AA707" s="91"/>
      <c r="AB707" s="91"/>
      <c r="AC707" s="37"/>
    </row>
    <row r="708" spans="1:29">
      <c r="A708" s="102"/>
      <c r="B708" s="103"/>
      <c r="C708" s="103"/>
      <c r="D708" s="104"/>
      <c r="E708" s="61"/>
      <c r="G708" s="60"/>
      <c r="H708" s="62"/>
      <c r="I708" s="63"/>
      <c r="J708" s="62"/>
      <c r="X708" s="91"/>
      <c r="Y708" s="91"/>
      <c r="Z708" s="91"/>
      <c r="AA708" s="91"/>
      <c r="AB708" s="91"/>
      <c r="AC708" s="37"/>
    </row>
    <row r="709" spans="1:29">
      <c r="A709" s="102"/>
      <c r="B709" s="103"/>
      <c r="C709" s="103"/>
      <c r="D709" s="104"/>
      <c r="E709" s="61"/>
      <c r="G709" s="60"/>
      <c r="H709" s="62"/>
      <c r="I709" s="63"/>
      <c r="J709" s="62"/>
      <c r="X709" s="91"/>
      <c r="Y709" s="91"/>
      <c r="Z709" s="91"/>
      <c r="AA709" s="91"/>
      <c r="AB709" s="91"/>
      <c r="AC709" s="37"/>
    </row>
    <row r="710" spans="1:29">
      <c r="A710" s="102"/>
      <c r="B710" s="103"/>
      <c r="C710" s="103"/>
      <c r="D710" s="104"/>
      <c r="E710" s="61"/>
      <c r="G710" s="60"/>
      <c r="H710" s="62"/>
      <c r="I710" s="63"/>
      <c r="J710" s="62"/>
      <c r="X710" s="91"/>
      <c r="Y710" s="91"/>
      <c r="Z710" s="91"/>
      <c r="AA710" s="91"/>
      <c r="AB710" s="91"/>
      <c r="AC710" s="37"/>
    </row>
    <row r="711" spans="1:29">
      <c r="A711" s="102"/>
      <c r="B711" s="103"/>
      <c r="C711" s="103"/>
      <c r="D711" s="104"/>
      <c r="E711" s="61"/>
      <c r="G711" s="60"/>
      <c r="H711" s="62"/>
      <c r="I711" s="63"/>
      <c r="J711" s="62"/>
      <c r="X711" s="91"/>
      <c r="Y711" s="91"/>
      <c r="Z711" s="91"/>
      <c r="AA711" s="91"/>
      <c r="AB711" s="91"/>
      <c r="AC711" s="37"/>
    </row>
    <row r="712" spans="1:29">
      <c r="A712" s="102"/>
      <c r="B712" s="103"/>
      <c r="C712" s="103"/>
      <c r="D712" s="104"/>
      <c r="E712" s="61"/>
      <c r="G712" s="60"/>
      <c r="H712" s="62"/>
      <c r="I712" s="63"/>
      <c r="J712" s="62"/>
      <c r="X712" s="91"/>
      <c r="Y712" s="91"/>
      <c r="Z712" s="91"/>
      <c r="AA712" s="91"/>
      <c r="AB712" s="91"/>
      <c r="AC712" s="37"/>
    </row>
    <row r="713" spans="1:29">
      <c r="A713" s="102"/>
      <c r="B713" s="103"/>
      <c r="C713" s="103"/>
      <c r="D713" s="104"/>
      <c r="E713" s="61"/>
      <c r="G713" s="60"/>
      <c r="H713" s="62"/>
      <c r="I713" s="63"/>
      <c r="J713" s="62"/>
      <c r="X713" s="91"/>
      <c r="Y713" s="91"/>
      <c r="Z713" s="91"/>
      <c r="AA713" s="91"/>
      <c r="AB713" s="91"/>
      <c r="AC713" s="37"/>
    </row>
    <row r="714" spans="1:29">
      <c r="A714" s="102"/>
      <c r="B714" s="103"/>
      <c r="C714" s="103"/>
      <c r="D714" s="104"/>
      <c r="E714" s="61"/>
      <c r="G714" s="60"/>
      <c r="H714" s="62"/>
      <c r="I714" s="63"/>
      <c r="J714" s="62"/>
      <c r="X714" s="91"/>
      <c r="Y714" s="91"/>
      <c r="Z714" s="91"/>
      <c r="AA714" s="91"/>
      <c r="AB714" s="91"/>
      <c r="AC714" s="37"/>
    </row>
    <row r="715" spans="1:29">
      <c r="A715" s="102"/>
      <c r="B715" s="103"/>
      <c r="C715" s="103"/>
      <c r="D715" s="104"/>
      <c r="E715" s="61"/>
      <c r="G715" s="60"/>
      <c r="H715" s="62"/>
      <c r="I715" s="63"/>
      <c r="J715" s="62"/>
      <c r="X715" s="91"/>
      <c r="Y715" s="91"/>
      <c r="Z715" s="91"/>
      <c r="AA715" s="91"/>
      <c r="AB715" s="91"/>
      <c r="AC715" s="37"/>
    </row>
    <row r="716" spans="1:29">
      <c r="A716" s="102"/>
      <c r="B716" s="103"/>
      <c r="C716" s="103"/>
      <c r="D716" s="104"/>
      <c r="E716" s="61"/>
      <c r="G716" s="60"/>
      <c r="H716" s="62"/>
      <c r="I716" s="63"/>
      <c r="J716" s="62"/>
      <c r="X716" s="91"/>
      <c r="Y716" s="91"/>
      <c r="Z716" s="91"/>
      <c r="AA716" s="91"/>
      <c r="AB716" s="91"/>
      <c r="AC716" s="37"/>
    </row>
    <row r="717" spans="1:29">
      <c r="A717" s="102"/>
      <c r="B717" s="103"/>
      <c r="C717" s="103"/>
      <c r="D717" s="104"/>
      <c r="E717" s="61"/>
      <c r="G717" s="60"/>
      <c r="H717" s="62"/>
      <c r="I717" s="63"/>
      <c r="J717" s="62"/>
      <c r="X717" s="91"/>
      <c r="Y717" s="91"/>
      <c r="Z717" s="91"/>
      <c r="AA717" s="91"/>
      <c r="AB717" s="91"/>
      <c r="AC717" s="37"/>
    </row>
    <row r="718" spans="1:29">
      <c r="A718" s="102"/>
      <c r="B718" s="103"/>
      <c r="C718" s="103"/>
      <c r="D718" s="104"/>
      <c r="E718" s="61"/>
      <c r="G718" s="60"/>
      <c r="H718" s="62"/>
      <c r="I718" s="63"/>
      <c r="J718" s="62"/>
      <c r="X718" s="91"/>
      <c r="Y718" s="91"/>
      <c r="Z718" s="91"/>
      <c r="AA718" s="91"/>
      <c r="AB718" s="91"/>
      <c r="AC718" s="37"/>
    </row>
    <row r="719" spans="1:29">
      <c r="A719" s="102"/>
      <c r="B719" s="103"/>
      <c r="C719" s="103"/>
      <c r="D719" s="104"/>
      <c r="E719" s="61"/>
      <c r="G719" s="60"/>
      <c r="H719" s="62"/>
      <c r="I719" s="63"/>
      <c r="J719" s="62"/>
      <c r="X719" s="91"/>
      <c r="Y719" s="91"/>
      <c r="Z719" s="91"/>
      <c r="AA719" s="91"/>
      <c r="AB719" s="91"/>
      <c r="AC719" s="37"/>
    </row>
    <row r="720" spans="1:29">
      <c r="A720" s="102"/>
      <c r="B720" s="103"/>
      <c r="C720" s="103"/>
      <c r="D720" s="104"/>
      <c r="E720" s="61"/>
      <c r="G720" s="60"/>
      <c r="H720" s="62"/>
      <c r="I720" s="63"/>
      <c r="J720" s="62"/>
      <c r="X720" s="91"/>
      <c r="Y720" s="91"/>
      <c r="Z720" s="91"/>
      <c r="AA720" s="91"/>
      <c r="AB720" s="91"/>
      <c r="AC720" s="37"/>
    </row>
    <row r="721" spans="1:29">
      <c r="A721" s="102"/>
      <c r="B721" s="103"/>
      <c r="C721" s="103"/>
      <c r="D721" s="104"/>
      <c r="E721" s="61"/>
      <c r="G721" s="60"/>
      <c r="H721" s="62"/>
      <c r="I721" s="63"/>
      <c r="J721" s="62"/>
      <c r="X721" s="91"/>
      <c r="Y721" s="91"/>
      <c r="Z721" s="91"/>
      <c r="AA721" s="91"/>
      <c r="AB721" s="91"/>
      <c r="AC721" s="37"/>
    </row>
    <row r="722" spans="1:29">
      <c r="A722" s="102"/>
      <c r="B722" s="103"/>
      <c r="C722" s="103"/>
      <c r="D722" s="104"/>
      <c r="E722" s="61"/>
      <c r="G722" s="60"/>
      <c r="H722" s="62"/>
      <c r="I722" s="63"/>
      <c r="J722" s="62"/>
      <c r="X722" s="91"/>
      <c r="Y722" s="91"/>
      <c r="Z722" s="91"/>
      <c r="AA722" s="91"/>
      <c r="AB722" s="91"/>
      <c r="AC722" s="37"/>
    </row>
    <row r="723" spans="1:29">
      <c r="A723" s="102"/>
      <c r="B723" s="103"/>
      <c r="C723" s="103"/>
      <c r="D723" s="104"/>
      <c r="E723" s="61"/>
      <c r="G723" s="60"/>
      <c r="H723" s="62"/>
      <c r="I723" s="63"/>
      <c r="J723" s="62"/>
      <c r="X723" s="91"/>
      <c r="Y723" s="91"/>
      <c r="Z723" s="91"/>
      <c r="AA723" s="91"/>
      <c r="AB723" s="91"/>
      <c r="AC723" s="37"/>
    </row>
    <row r="724" spans="1:29">
      <c r="A724" s="102"/>
      <c r="B724" s="103"/>
      <c r="C724" s="103"/>
      <c r="D724" s="104"/>
      <c r="E724" s="61"/>
      <c r="G724" s="60"/>
      <c r="H724" s="62"/>
      <c r="I724" s="63"/>
      <c r="J724" s="62"/>
      <c r="X724" s="91"/>
      <c r="Y724" s="91"/>
      <c r="Z724" s="91"/>
      <c r="AA724" s="91"/>
      <c r="AB724" s="91"/>
      <c r="AC724" s="37"/>
    </row>
    <row r="725" spans="1:29">
      <c r="A725" s="102"/>
      <c r="B725" s="103"/>
      <c r="C725" s="103"/>
      <c r="D725" s="104"/>
      <c r="E725" s="61"/>
      <c r="G725" s="60"/>
      <c r="H725" s="62"/>
      <c r="I725" s="63"/>
      <c r="J725" s="62"/>
      <c r="X725" s="91"/>
      <c r="Y725" s="91"/>
      <c r="Z725" s="91"/>
      <c r="AA725" s="91"/>
      <c r="AB725" s="91"/>
      <c r="AC725" s="37"/>
    </row>
    <row r="726" spans="1:29">
      <c r="A726" s="102"/>
      <c r="B726" s="103"/>
      <c r="C726" s="103"/>
      <c r="D726" s="104"/>
      <c r="E726" s="61"/>
      <c r="G726" s="60"/>
      <c r="H726" s="62"/>
      <c r="I726" s="63"/>
      <c r="J726" s="62"/>
      <c r="X726" s="91"/>
      <c r="Y726" s="91"/>
      <c r="Z726" s="91"/>
      <c r="AA726" s="91"/>
      <c r="AB726" s="91"/>
      <c r="AC726" s="37"/>
    </row>
    <row r="727" spans="1:29">
      <c r="A727" s="102"/>
      <c r="B727" s="103"/>
      <c r="C727" s="103"/>
      <c r="D727" s="104"/>
      <c r="E727" s="61"/>
      <c r="G727" s="60"/>
      <c r="H727" s="62"/>
      <c r="I727" s="63"/>
      <c r="J727" s="62"/>
      <c r="X727" s="91"/>
      <c r="Y727" s="91"/>
      <c r="Z727" s="91"/>
      <c r="AA727" s="91"/>
      <c r="AB727" s="91"/>
      <c r="AC727" s="37"/>
    </row>
    <row r="728" spans="1:29">
      <c r="A728" s="102"/>
      <c r="B728" s="103"/>
      <c r="C728" s="103"/>
      <c r="D728" s="104"/>
      <c r="E728" s="61"/>
      <c r="G728" s="60"/>
      <c r="H728" s="62"/>
      <c r="I728" s="63"/>
      <c r="J728" s="62"/>
      <c r="X728" s="91"/>
      <c r="Y728" s="91"/>
      <c r="Z728" s="91"/>
      <c r="AA728" s="91"/>
      <c r="AB728" s="91"/>
      <c r="AC728" s="37"/>
    </row>
    <row r="729" spans="1:29">
      <c r="A729" s="102"/>
      <c r="B729" s="103"/>
      <c r="C729" s="103"/>
      <c r="D729" s="104"/>
      <c r="E729" s="61"/>
      <c r="G729" s="60"/>
      <c r="H729" s="62"/>
      <c r="I729" s="63"/>
      <c r="J729" s="62"/>
      <c r="X729" s="91"/>
      <c r="Y729" s="91"/>
      <c r="Z729" s="91"/>
      <c r="AA729" s="91"/>
      <c r="AB729" s="91"/>
      <c r="AC729" s="37"/>
    </row>
    <row r="730" spans="1:29">
      <c r="A730" s="102"/>
      <c r="B730" s="103"/>
      <c r="C730" s="103"/>
      <c r="D730" s="104"/>
      <c r="E730" s="61"/>
      <c r="G730" s="60"/>
      <c r="H730" s="62"/>
      <c r="I730" s="63"/>
      <c r="J730" s="62"/>
      <c r="X730" s="91"/>
      <c r="Y730" s="91"/>
      <c r="Z730" s="91"/>
      <c r="AA730" s="91"/>
      <c r="AB730" s="91"/>
      <c r="AC730" s="37"/>
    </row>
    <row r="731" spans="1:29">
      <c r="A731" s="102"/>
      <c r="B731" s="103"/>
      <c r="C731" s="103"/>
      <c r="D731" s="104"/>
      <c r="E731" s="61"/>
      <c r="G731" s="60"/>
      <c r="H731" s="62"/>
      <c r="I731" s="63"/>
      <c r="J731" s="62"/>
      <c r="X731" s="91"/>
      <c r="Y731" s="91"/>
      <c r="Z731" s="91"/>
      <c r="AA731" s="91"/>
      <c r="AB731" s="91"/>
      <c r="AC731" s="37"/>
    </row>
    <row r="732" spans="1:29">
      <c r="A732" s="102"/>
      <c r="B732" s="103"/>
      <c r="C732" s="103"/>
      <c r="D732" s="104"/>
      <c r="E732" s="61"/>
      <c r="G732" s="60"/>
      <c r="H732" s="62"/>
      <c r="I732" s="63"/>
      <c r="J732" s="62"/>
      <c r="X732" s="91"/>
      <c r="Y732" s="91"/>
      <c r="Z732" s="91"/>
      <c r="AA732" s="91"/>
      <c r="AB732" s="91"/>
      <c r="AC732" s="37"/>
    </row>
    <row r="733" spans="1:29">
      <c r="A733" s="102"/>
      <c r="B733" s="103"/>
      <c r="C733" s="103"/>
      <c r="D733" s="104"/>
      <c r="E733" s="61"/>
      <c r="G733" s="60"/>
      <c r="H733" s="62"/>
      <c r="I733" s="63"/>
      <c r="J733" s="62"/>
      <c r="X733" s="91"/>
      <c r="Y733" s="91"/>
      <c r="Z733" s="91"/>
      <c r="AA733" s="91"/>
      <c r="AB733" s="91"/>
      <c r="AC733" s="37"/>
    </row>
    <row r="734" spans="1:29">
      <c r="A734" s="102"/>
      <c r="B734" s="103"/>
      <c r="C734" s="103"/>
      <c r="D734" s="104"/>
      <c r="E734" s="61"/>
      <c r="G734" s="60"/>
      <c r="H734" s="62"/>
      <c r="I734" s="63"/>
      <c r="J734" s="62"/>
      <c r="X734" s="91"/>
      <c r="Y734" s="91"/>
      <c r="Z734" s="91"/>
      <c r="AA734" s="91"/>
      <c r="AB734" s="91"/>
      <c r="AC734" s="37"/>
    </row>
    <row r="735" spans="1:29">
      <c r="A735" s="102"/>
      <c r="B735" s="103"/>
      <c r="C735" s="103"/>
      <c r="D735" s="104"/>
      <c r="E735" s="61"/>
      <c r="G735" s="60"/>
      <c r="H735" s="62"/>
      <c r="I735" s="63"/>
      <c r="J735" s="62"/>
      <c r="X735" s="91"/>
      <c r="Y735" s="91"/>
      <c r="Z735" s="91"/>
      <c r="AA735" s="91"/>
      <c r="AB735" s="91"/>
      <c r="AC735" s="37"/>
    </row>
    <row r="736" spans="1:29">
      <c r="A736" s="102"/>
      <c r="B736" s="103"/>
      <c r="C736" s="103"/>
      <c r="D736" s="104"/>
      <c r="E736" s="61"/>
      <c r="G736" s="60"/>
      <c r="H736" s="62"/>
      <c r="I736" s="63"/>
      <c r="J736" s="62"/>
      <c r="X736" s="91"/>
      <c r="Y736" s="91"/>
      <c r="Z736" s="91"/>
      <c r="AA736" s="91"/>
      <c r="AB736" s="91"/>
      <c r="AC736" s="37"/>
    </row>
    <row r="737" spans="1:29">
      <c r="A737" s="102"/>
      <c r="B737" s="103"/>
      <c r="C737" s="103"/>
      <c r="D737" s="104"/>
      <c r="E737" s="61"/>
      <c r="G737" s="60"/>
      <c r="H737" s="62"/>
      <c r="I737" s="63"/>
      <c r="J737" s="62"/>
      <c r="X737" s="91"/>
      <c r="Y737" s="91"/>
      <c r="Z737" s="91"/>
      <c r="AA737" s="91"/>
      <c r="AB737" s="91"/>
      <c r="AC737" s="37"/>
    </row>
    <row r="738" spans="1:29">
      <c r="A738" s="102"/>
      <c r="B738" s="103"/>
      <c r="C738" s="103"/>
      <c r="D738" s="104"/>
      <c r="E738" s="61"/>
      <c r="G738" s="60"/>
      <c r="H738" s="62"/>
      <c r="I738" s="63"/>
      <c r="J738" s="62"/>
      <c r="X738" s="91"/>
      <c r="Y738" s="91"/>
      <c r="Z738" s="91"/>
      <c r="AA738" s="91"/>
      <c r="AB738" s="91"/>
      <c r="AC738" s="37"/>
    </row>
    <row r="739" spans="1:29">
      <c r="A739" s="102"/>
      <c r="B739" s="103"/>
      <c r="C739" s="103"/>
      <c r="D739" s="104"/>
      <c r="E739" s="61"/>
      <c r="G739" s="60"/>
      <c r="H739" s="62"/>
      <c r="I739" s="63"/>
      <c r="J739" s="62"/>
      <c r="X739" s="91"/>
      <c r="Y739" s="91"/>
      <c r="Z739" s="91"/>
      <c r="AA739" s="91"/>
      <c r="AB739" s="91"/>
      <c r="AC739" s="37"/>
    </row>
    <row r="740" spans="1:29">
      <c r="A740" s="102"/>
      <c r="B740" s="103"/>
      <c r="C740" s="103"/>
      <c r="D740" s="104"/>
      <c r="E740" s="61"/>
      <c r="G740" s="60"/>
      <c r="H740" s="62"/>
      <c r="I740" s="63"/>
      <c r="J740" s="62"/>
      <c r="X740" s="91"/>
      <c r="Y740" s="91"/>
      <c r="Z740" s="91"/>
      <c r="AA740" s="91"/>
      <c r="AB740" s="91"/>
      <c r="AC740" s="37"/>
    </row>
    <row r="741" spans="1:29">
      <c r="A741" s="102"/>
      <c r="B741" s="103"/>
      <c r="C741" s="103"/>
      <c r="D741" s="104"/>
      <c r="E741" s="61"/>
      <c r="G741" s="60"/>
      <c r="H741" s="62"/>
      <c r="I741" s="63"/>
      <c r="J741" s="62"/>
      <c r="X741" s="91"/>
      <c r="Y741" s="91"/>
      <c r="Z741" s="91"/>
      <c r="AA741" s="91"/>
      <c r="AB741" s="91"/>
      <c r="AC741" s="37"/>
    </row>
    <row r="742" spans="1:29">
      <c r="A742" s="102"/>
      <c r="B742" s="103"/>
      <c r="C742" s="103"/>
      <c r="D742" s="104"/>
      <c r="E742" s="61"/>
      <c r="G742" s="60"/>
      <c r="H742" s="62"/>
      <c r="I742" s="63"/>
      <c r="J742" s="62"/>
      <c r="X742" s="91"/>
      <c r="Y742" s="91"/>
      <c r="Z742" s="91"/>
      <c r="AA742" s="91"/>
      <c r="AB742" s="91"/>
      <c r="AC742" s="37"/>
    </row>
    <row r="743" spans="1:29">
      <c r="A743" s="102"/>
      <c r="B743" s="103"/>
      <c r="C743" s="103"/>
      <c r="D743" s="104"/>
      <c r="E743" s="61"/>
      <c r="G743" s="60"/>
      <c r="H743" s="62"/>
      <c r="I743" s="63"/>
      <c r="J743" s="62"/>
      <c r="X743" s="91"/>
      <c r="Y743" s="91"/>
      <c r="Z743" s="91"/>
      <c r="AA743" s="91"/>
      <c r="AB743" s="91"/>
      <c r="AC743" s="37"/>
    </row>
    <row r="744" spans="1:29">
      <c r="A744" s="102"/>
      <c r="B744" s="103"/>
      <c r="C744" s="103"/>
      <c r="D744" s="104"/>
      <c r="E744" s="61"/>
      <c r="G744" s="60"/>
      <c r="H744" s="62"/>
      <c r="I744" s="63"/>
      <c r="J744" s="62"/>
      <c r="X744" s="91"/>
      <c r="Y744" s="91"/>
      <c r="Z744" s="91"/>
      <c r="AA744" s="91"/>
      <c r="AB744" s="91"/>
      <c r="AC744" s="37"/>
    </row>
    <row r="745" spans="1:29">
      <c r="A745" s="102"/>
      <c r="B745" s="103"/>
      <c r="C745" s="103"/>
      <c r="D745" s="104"/>
      <c r="E745" s="61"/>
      <c r="G745" s="60"/>
      <c r="H745" s="62"/>
      <c r="I745" s="63"/>
      <c r="J745" s="62"/>
      <c r="X745" s="91"/>
      <c r="Y745" s="91"/>
      <c r="Z745" s="91"/>
      <c r="AA745" s="91"/>
      <c r="AB745" s="91"/>
      <c r="AC745" s="37"/>
    </row>
    <row r="746" spans="1:29">
      <c r="A746" s="102"/>
      <c r="B746" s="103"/>
      <c r="C746" s="103"/>
      <c r="D746" s="104"/>
      <c r="E746" s="61"/>
      <c r="G746" s="60"/>
      <c r="H746" s="62"/>
      <c r="I746" s="63"/>
      <c r="J746" s="62"/>
      <c r="X746" s="91"/>
      <c r="Y746" s="91"/>
      <c r="Z746" s="91"/>
      <c r="AA746" s="91"/>
      <c r="AB746" s="91"/>
      <c r="AC746" s="37"/>
    </row>
    <row r="747" spans="1:29">
      <c r="A747" s="102"/>
      <c r="B747" s="103"/>
      <c r="C747" s="103"/>
      <c r="D747" s="104"/>
      <c r="E747" s="61"/>
      <c r="G747" s="60"/>
      <c r="H747" s="62"/>
      <c r="I747" s="63"/>
      <c r="J747" s="62"/>
      <c r="X747" s="91"/>
      <c r="Y747" s="91"/>
      <c r="Z747" s="91"/>
      <c r="AA747" s="91"/>
      <c r="AB747" s="91"/>
      <c r="AC747" s="37"/>
    </row>
    <row r="748" spans="1:29">
      <c r="A748" s="102"/>
      <c r="B748" s="103"/>
      <c r="C748" s="103"/>
      <c r="D748" s="104"/>
      <c r="E748" s="61"/>
      <c r="G748" s="60"/>
      <c r="H748" s="62"/>
      <c r="I748" s="63"/>
      <c r="J748" s="62"/>
      <c r="X748" s="91"/>
      <c r="Y748" s="91"/>
      <c r="Z748" s="91"/>
      <c r="AA748" s="91"/>
      <c r="AB748" s="91"/>
      <c r="AC748" s="37"/>
    </row>
    <row r="749" spans="1:29">
      <c r="A749" s="102"/>
      <c r="B749" s="103"/>
      <c r="C749" s="103"/>
      <c r="D749" s="104"/>
      <c r="E749" s="61"/>
      <c r="G749" s="60"/>
      <c r="H749" s="62"/>
      <c r="I749" s="63"/>
      <c r="J749" s="62"/>
      <c r="X749" s="91"/>
      <c r="Y749" s="91"/>
      <c r="Z749" s="91"/>
      <c r="AA749" s="91"/>
      <c r="AB749" s="91"/>
      <c r="AC749" s="37"/>
    </row>
    <row r="750" spans="1:29">
      <c r="A750" s="102"/>
      <c r="B750" s="103"/>
      <c r="C750" s="103"/>
      <c r="D750" s="104"/>
      <c r="E750" s="61"/>
      <c r="G750" s="60"/>
      <c r="H750" s="62"/>
      <c r="I750" s="63"/>
      <c r="J750" s="62"/>
      <c r="X750" s="91"/>
      <c r="Y750" s="91"/>
      <c r="Z750" s="91"/>
      <c r="AA750" s="91"/>
      <c r="AB750" s="91"/>
      <c r="AC750" s="37"/>
    </row>
    <row r="751" spans="1:29">
      <c r="A751" s="102"/>
      <c r="B751" s="103"/>
      <c r="C751" s="103"/>
      <c r="D751" s="104"/>
      <c r="E751" s="61"/>
      <c r="G751" s="60"/>
      <c r="H751" s="62"/>
      <c r="I751" s="63"/>
      <c r="J751" s="62"/>
      <c r="X751" s="91"/>
      <c r="Y751" s="91"/>
      <c r="Z751" s="91"/>
      <c r="AA751" s="91"/>
      <c r="AB751" s="91"/>
      <c r="AC751" s="37"/>
    </row>
    <row r="752" spans="1:29">
      <c r="A752" s="102"/>
      <c r="B752" s="103"/>
      <c r="C752" s="103"/>
      <c r="D752" s="104"/>
      <c r="E752" s="61"/>
      <c r="G752" s="60"/>
      <c r="H752" s="62"/>
      <c r="I752" s="63"/>
      <c r="J752" s="62"/>
      <c r="X752" s="91"/>
      <c r="Y752" s="91"/>
      <c r="Z752" s="91"/>
      <c r="AA752" s="91"/>
      <c r="AB752" s="91"/>
      <c r="AC752" s="37"/>
    </row>
    <row r="753" spans="1:29">
      <c r="A753" s="102"/>
      <c r="B753" s="103"/>
      <c r="C753" s="103"/>
      <c r="D753" s="104"/>
      <c r="E753" s="61"/>
      <c r="G753" s="60"/>
      <c r="H753" s="62"/>
      <c r="I753" s="63"/>
      <c r="J753" s="62"/>
      <c r="X753" s="91"/>
      <c r="Y753" s="91"/>
      <c r="Z753" s="91"/>
      <c r="AA753" s="91"/>
      <c r="AB753" s="91"/>
      <c r="AC753" s="37"/>
    </row>
    <row r="754" spans="1:29">
      <c r="A754" s="102"/>
      <c r="B754" s="103"/>
      <c r="C754" s="103"/>
      <c r="D754" s="104"/>
      <c r="E754" s="61"/>
      <c r="G754" s="60"/>
      <c r="H754" s="62"/>
      <c r="I754" s="63"/>
      <c r="J754" s="62"/>
      <c r="X754" s="91"/>
      <c r="Y754" s="91"/>
      <c r="Z754" s="91"/>
      <c r="AA754" s="91"/>
      <c r="AB754" s="91"/>
      <c r="AC754" s="37"/>
    </row>
    <row r="755" spans="1:29">
      <c r="A755" s="102"/>
      <c r="B755" s="103"/>
      <c r="C755" s="103"/>
      <c r="D755" s="104"/>
      <c r="E755" s="61"/>
      <c r="G755" s="60"/>
      <c r="H755" s="62"/>
      <c r="I755" s="63"/>
      <c r="J755" s="62"/>
      <c r="X755" s="91"/>
      <c r="Y755" s="91"/>
      <c r="Z755" s="91"/>
      <c r="AA755" s="91"/>
      <c r="AB755" s="91"/>
      <c r="AC755" s="37"/>
    </row>
    <row r="756" spans="1:29">
      <c r="A756" s="102"/>
      <c r="B756" s="103"/>
      <c r="C756" s="103"/>
      <c r="D756" s="104"/>
      <c r="E756" s="61"/>
      <c r="G756" s="60"/>
      <c r="H756" s="62"/>
      <c r="I756" s="63"/>
      <c r="J756" s="62"/>
      <c r="X756" s="91"/>
      <c r="Y756" s="91"/>
      <c r="Z756" s="91"/>
      <c r="AA756" s="91"/>
      <c r="AB756" s="91"/>
      <c r="AC756" s="37"/>
    </row>
    <row r="757" spans="1:29">
      <c r="A757" s="102"/>
      <c r="B757" s="103"/>
      <c r="C757" s="103"/>
      <c r="D757" s="104"/>
      <c r="E757" s="61"/>
      <c r="G757" s="60"/>
      <c r="H757" s="62"/>
      <c r="I757" s="63"/>
      <c r="J757" s="62"/>
      <c r="X757" s="91"/>
      <c r="Y757" s="91"/>
      <c r="Z757" s="91"/>
      <c r="AA757" s="91"/>
      <c r="AB757" s="91"/>
      <c r="AC757" s="37"/>
    </row>
    <row r="758" spans="1:29">
      <c r="A758" s="102"/>
      <c r="B758" s="103"/>
      <c r="C758" s="103"/>
      <c r="D758" s="104"/>
      <c r="E758" s="61"/>
      <c r="G758" s="60"/>
      <c r="H758" s="62"/>
      <c r="I758" s="63"/>
      <c r="J758" s="62"/>
      <c r="X758" s="91"/>
      <c r="Y758" s="91"/>
      <c r="Z758" s="91"/>
      <c r="AA758" s="91"/>
      <c r="AB758" s="91"/>
      <c r="AC758" s="37"/>
    </row>
    <row r="759" spans="1:29">
      <c r="A759" s="102"/>
      <c r="B759" s="103"/>
      <c r="C759" s="103"/>
      <c r="D759" s="104"/>
      <c r="E759" s="61"/>
      <c r="G759" s="60"/>
      <c r="H759" s="62"/>
      <c r="I759" s="63"/>
      <c r="J759" s="62"/>
      <c r="X759" s="91"/>
      <c r="Y759" s="91"/>
      <c r="Z759" s="91"/>
      <c r="AA759" s="91"/>
      <c r="AB759" s="91"/>
      <c r="AC759" s="37"/>
    </row>
    <row r="760" spans="1:29">
      <c r="A760" s="102"/>
      <c r="B760" s="103"/>
      <c r="C760" s="103"/>
      <c r="D760" s="104"/>
      <c r="E760" s="61"/>
      <c r="G760" s="60"/>
      <c r="H760" s="62"/>
      <c r="I760" s="63"/>
      <c r="J760" s="62"/>
      <c r="X760" s="91"/>
      <c r="Y760" s="91"/>
      <c r="Z760" s="91"/>
      <c r="AA760" s="91"/>
      <c r="AB760" s="91"/>
      <c r="AC760" s="37"/>
    </row>
    <row r="761" spans="1:29">
      <c r="A761" s="102"/>
      <c r="B761" s="103"/>
      <c r="C761" s="103"/>
      <c r="D761" s="104"/>
      <c r="E761" s="61"/>
      <c r="G761" s="60"/>
      <c r="H761" s="62"/>
      <c r="I761" s="63"/>
      <c r="J761" s="62"/>
      <c r="X761" s="91"/>
      <c r="Y761" s="91"/>
      <c r="Z761" s="91"/>
      <c r="AA761" s="91"/>
      <c r="AB761" s="91"/>
      <c r="AC761" s="37"/>
    </row>
    <row r="762" spans="1:29">
      <c r="A762" s="102"/>
      <c r="B762" s="103"/>
      <c r="C762" s="103"/>
      <c r="D762" s="104"/>
      <c r="E762" s="61"/>
      <c r="G762" s="60"/>
      <c r="H762" s="62"/>
      <c r="I762" s="63"/>
      <c r="J762" s="62"/>
      <c r="X762" s="91"/>
      <c r="Y762" s="91"/>
      <c r="Z762" s="91"/>
      <c r="AA762" s="91"/>
      <c r="AB762" s="91"/>
      <c r="AC762" s="37"/>
    </row>
    <row r="763" spans="1:29">
      <c r="A763" s="102"/>
      <c r="B763" s="103"/>
      <c r="C763" s="103"/>
      <c r="D763" s="104"/>
      <c r="E763" s="61"/>
      <c r="G763" s="60"/>
      <c r="H763" s="62"/>
      <c r="I763" s="63"/>
      <c r="J763" s="62"/>
      <c r="X763" s="91"/>
      <c r="Y763" s="91"/>
      <c r="Z763" s="91"/>
      <c r="AA763" s="91"/>
      <c r="AB763" s="91"/>
      <c r="AC763" s="37"/>
    </row>
    <row r="764" spans="1:29">
      <c r="A764" s="102"/>
      <c r="B764" s="103"/>
      <c r="C764" s="103"/>
      <c r="D764" s="104"/>
      <c r="E764" s="61"/>
      <c r="G764" s="60"/>
      <c r="H764" s="62"/>
      <c r="I764" s="63"/>
      <c r="J764" s="62"/>
      <c r="X764" s="91"/>
      <c r="Y764" s="91"/>
      <c r="Z764" s="91"/>
      <c r="AA764" s="91"/>
      <c r="AB764" s="91"/>
      <c r="AC764" s="37"/>
    </row>
    <row r="765" spans="1:29">
      <c r="A765" s="102"/>
      <c r="B765" s="103"/>
      <c r="C765" s="103"/>
      <c r="D765" s="104"/>
      <c r="E765" s="61"/>
      <c r="G765" s="60"/>
      <c r="H765" s="62"/>
      <c r="I765" s="63"/>
      <c r="J765" s="62"/>
      <c r="X765" s="91"/>
      <c r="Y765" s="91"/>
      <c r="Z765" s="91"/>
      <c r="AA765" s="91"/>
      <c r="AB765" s="91"/>
      <c r="AC765" s="37"/>
    </row>
    <row r="766" spans="1:29">
      <c r="A766" s="102"/>
      <c r="B766" s="103"/>
      <c r="C766" s="103"/>
      <c r="D766" s="104"/>
      <c r="E766" s="61"/>
      <c r="G766" s="60"/>
      <c r="H766" s="62"/>
      <c r="I766" s="63"/>
      <c r="J766" s="62"/>
      <c r="X766" s="91"/>
      <c r="Y766" s="91"/>
      <c r="Z766" s="91"/>
      <c r="AA766" s="91"/>
      <c r="AB766" s="91"/>
      <c r="AC766" s="37"/>
    </row>
    <row r="767" spans="1:29">
      <c r="A767" s="102"/>
      <c r="B767" s="103"/>
      <c r="C767" s="103"/>
      <c r="D767" s="104"/>
      <c r="E767" s="61"/>
      <c r="G767" s="60"/>
      <c r="H767" s="62"/>
      <c r="I767" s="63"/>
      <c r="J767" s="62"/>
      <c r="X767" s="91"/>
      <c r="Y767" s="91"/>
      <c r="Z767" s="91"/>
      <c r="AA767" s="91"/>
      <c r="AB767" s="91"/>
      <c r="AC767" s="37"/>
    </row>
    <row r="768" spans="1:29">
      <c r="A768" s="102"/>
      <c r="B768" s="103"/>
      <c r="C768" s="103"/>
      <c r="D768" s="104"/>
      <c r="E768" s="61"/>
      <c r="G768" s="60"/>
      <c r="H768" s="62"/>
      <c r="I768" s="63"/>
      <c r="J768" s="62"/>
      <c r="X768" s="91"/>
      <c r="Y768" s="91"/>
      <c r="Z768" s="91"/>
      <c r="AA768" s="91"/>
      <c r="AB768" s="91"/>
      <c r="AC768" s="37"/>
    </row>
    <row r="769" spans="1:29">
      <c r="A769" s="102"/>
      <c r="B769" s="103"/>
      <c r="C769" s="103"/>
      <c r="D769" s="104"/>
      <c r="E769" s="61"/>
      <c r="G769" s="60"/>
      <c r="H769" s="62"/>
      <c r="I769" s="63"/>
      <c r="J769" s="62"/>
      <c r="X769" s="91"/>
      <c r="Y769" s="91"/>
      <c r="Z769" s="91"/>
      <c r="AA769" s="91"/>
      <c r="AB769" s="91"/>
      <c r="AC769" s="37"/>
    </row>
    <row r="770" spans="1:29">
      <c r="A770" s="102"/>
      <c r="B770" s="103"/>
      <c r="C770" s="103"/>
      <c r="D770" s="104"/>
      <c r="E770" s="61"/>
      <c r="G770" s="60"/>
      <c r="H770" s="62"/>
      <c r="I770" s="63"/>
      <c r="J770" s="62"/>
      <c r="X770" s="91"/>
      <c r="Y770" s="91"/>
      <c r="Z770" s="91"/>
      <c r="AA770" s="91"/>
      <c r="AB770" s="91"/>
      <c r="AC770" s="37"/>
    </row>
    <row r="771" spans="1:29">
      <c r="A771" s="102"/>
      <c r="B771" s="103"/>
      <c r="C771" s="103"/>
      <c r="D771" s="104"/>
      <c r="E771" s="61"/>
      <c r="G771" s="60"/>
      <c r="H771" s="62"/>
      <c r="I771" s="63"/>
      <c r="J771" s="62"/>
      <c r="X771" s="91"/>
      <c r="Y771" s="91"/>
      <c r="Z771" s="91"/>
      <c r="AA771" s="91"/>
      <c r="AB771" s="91"/>
      <c r="AC771" s="37"/>
    </row>
    <row r="772" spans="1:29">
      <c r="A772" s="102"/>
      <c r="B772" s="103"/>
      <c r="C772" s="103"/>
      <c r="D772" s="104"/>
      <c r="E772" s="61"/>
      <c r="G772" s="60"/>
      <c r="H772" s="62"/>
      <c r="I772" s="63"/>
      <c r="J772" s="62"/>
      <c r="X772" s="91"/>
      <c r="Y772" s="91"/>
      <c r="Z772" s="91"/>
      <c r="AA772" s="91"/>
      <c r="AB772" s="91"/>
      <c r="AC772" s="37"/>
    </row>
    <row r="773" spans="1:29">
      <c r="A773" s="102"/>
      <c r="B773" s="103"/>
      <c r="C773" s="103"/>
      <c r="D773" s="104"/>
      <c r="E773" s="61"/>
      <c r="G773" s="60"/>
      <c r="H773" s="62"/>
      <c r="I773" s="63"/>
      <c r="J773" s="62"/>
      <c r="X773" s="91"/>
      <c r="Y773" s="91"/>
      <c r="Z773" s="91"/>
      <c r="AA773" s="91"/>
      <c r="AB773" s="91"/>
      <c r="AC773" s="37"/>
    </row>
    <row r="774" spans="1:29">
      <c r="A774" s="102"/>
      <c r="B774" s="103"/>
      <c r="C774" s="103"/>
      <c r="D774" s="104"/>
      <c r="E774" s="61"/>
      <c r="G774" s="60"/>
      <c r="H774" s="62"/>
      <c r="I774" s="63"/>
      <c r="J774" s="62"/>
      <c r="X774" s="91"/>
      <c r="Y774" s="91"/>
      <c r="Z774" s="91"/>
      <c r="AA774" s="91"/>
      <c r="AB774" s="91"/>
      <c r="AC774" s="37"/>
    </row>
    <row r="775" spans="1:29">
      <c r="A775" s="102"/>
      <c r="B775" s="103"/>
      <c r="C775" s="103"/>
      <c r="D775" s="104"/>
      <c r="E775" s="61"/>
      <c r="G775" s="60"/>
      <c r="H775" s="62"/>
      <c r="I775" s="63"/>
      <c r="J775" s="62"/>
      <c r="X775" s="91"/>
      <c r="Y775" s="91"/>
      <c r="Z775" s="91"/>
      <c r="AA775" s="91"/>
      <c r="AB775" s="91"/>
      <c r="AC775" s="37"/>
    </row>
    <row r="776" spans="1:29">
      <c r="A776" s="102"/>
      <c r="B776" s="103"/>
      <c r="C776" s="103"/>
      <c r="D776" s="104"/>
      <c r="E776" s="61"/>
      <c r="G776" s="60"/>
      <c r="H776" s="62"/>
      <c r="I776" s="63"/>
      <c r="J776" s="62"/>
      <c r="X776" s="91"/>
      <c r="Y776" s="91"/>
      <c r="Z776" s="91"/>
      <c r="AA776" s="91"/>
      <c r="AB776" s="91"/>
      <c r="AC776" s="37"/>
    </row>
    <row r="777" spans="1:29">
      <c r="A777" s="102"/>
      <c r="B777" s="103"/>
      <c r="C777" s="103"/>
      <c r="D777" s="104"/>
      <c r="E777" s="61"/>
      <c r="G777" s="60"/>
      <c r="H777" s="62"/>
      <c r="I777" s="63"/>
      <c r="J777" s="62"/>
      <c r="X777" s="91"/>
      <c r="Y777" s="91"/>
      <c r="Z777" s="91"/>
      <c r="AA777" s="91"/>
      <c r="AB777" s="91"/>
      <c r="AC777" s="37"/>
    </row>
    <row r="778" spans="1:29">
      <c r="A778" s="102"/>
      <c r="B778" s="103"/>
      <c r="C778" s="103"/>
      <c r="D778" s="104"/>
      <c r="E778" s="61"/>
      <c r="G778" s="60"/>
      <c r="H778" s="62"/>
      <c r="I778" s="63"/>
      <c r="J778" s="62"/>
      <c r="X778" s="91"/>
      <c r="Y778" s="91"/>
      <c r="Z778" s="91"/>
      <c r="AA778" s="91"/>
      <c r="AB778" s="91"/>
      <c r="AC778" s="37"/>
    </row>
    <row r="779" spans="1:29">
      <c r="A779" s="102"/>
      <c r="B779" s="103"/>
      <c r="C779" s="103"/>
      <c r="D779" s="104"/>
      <c r="E779" s="61"/>
      <c r="G779" s="60"/>
      <c r="H779" s="62"/>
      <c r="I779" s="63"/>
      <c r="J779" s="62"/>
      <c r="X779" s="91"/>
      <c r="Y779" s="91"/>
      <c r="Z779" s="91"/>
      <c r="AA779" s="91"/>
      <c r="AB779" s="91"/>
      <c r="AC779" s="37"/>
    </row>
    <row r="780" spans="1:29">
      <c r="A780" s="102"/>
      <c r="B780" s="103"/>
      <c r="C780" s="103"/>
      <c r="D780" s="104"/>
      <c r="E780" s="61"/>
      <c r="G780" s="60"/>
      <c r="H780" s="62"/>
      <c r="I780" s="63"/>
      <c r="J780" s="62"/>
      <c r="X780" s="91"/>
      <c r="Y780" s="91"/>
      <c r="Z780" s="91"/>
      <c r="AA780" s="91"/>
      <c r="AB780" s="91"/>
      <c r="AC780" s="37"/>
    </row>
    <row r="781" spans="1:29">
      <c r="A781" s="102"/>
      <c r="B781" s="103"/>
      <c r="C781" s="103"/>
      <c r="D781" s="104"/>
      <c r="E781" s="61"/>
      <c r="G781" s="60"/>
      <c r="H781" s="62"/>
      <c r="I781" s="63"/>
      <c r="J781" s="62"/>
      <c r="X781" s="91"/>
      <c r="Y781" s="91"/>
      <c r="Z781" s="91"/>
      <c r="AA781" s="91"/>
      <c r="AB781" s="91"/>
      <c r="AC781" s="37"/>
    </row>
    <row r="782" spans="1:29">
      <c r="A782" s="102"/>
      <c r="B782" s="103"/>
      <c r="C782" s="103"/>
      <c r="D782" s="104"/>
      <c r="E782" s="61"/>
      <c r="G782" s="60"/>
      <c r="H782" s="62"/>
      <c r="I782" s="63"/>
      <c r="J782" s="62"/>
      <c r="X782" s="91"/>
      <c r="Y782" s="91"/>
      <c r="Z782" s="91"/>
      <c r="AA782" s="91"/>
      <c r="AB782" s="91"/>
      <c r="AC782" s="37"/>
    </row>
    <row r="783" spans="1:29">
      <c r="A783" s="102"/>
      <c r="B783" s="103"/>
      <c r="C783" s="103"/>
      <c r="D783" s="104"/>
      <c r="E783" s="61"/>
      <c r="G783" s="60"/>
      <c r="H783" s="62"/>
      <c r="I783" s="63"/>
      <c r="J783" s="62"/>
      <c r="X783" s="91"/>
      <c r="Y783" s="91"/>
      <c r="Z783" s="91"/>
      <c r="AA783" s="91"/>
      <c r="AB783" s="91"/>
      <c r="AC783" s="37"/>
    </row>
    <row r="784" spans="1:29">
      <c r="A784" s="102"/>
      <c r="B784" s="103"/>
      <c r="C784" s="103"/>
      <c r="D784" s="104"/>
      <c r="E784" s="61"/>
      <c r="G784" s="60"/>
      <c r="H784" s="62"/>
      <c r="I784" s="63"/>
      <c r="J784" s="62"/>
      <c r="X784" s="91"/>
      <c r="Y784" s="91"/>
      <c r="Z784" s="91"/>
      <c r="AA784" s="91"/>
      <c r="AB784" s="91"/>
      <c r="AC784" s="37"/>
    </row>
    <row r="785" spans="1:29">
      <c r="A785" s="102"/>
      <c r="B785" s="103"/>
      <c r="C785" s="103"/>
      <c r="D785" s="104"/>
      <c r="E785" s="61"/>
      <c r="G785" s="60"/>
      <c r="H785" s="62"/>
      <c r="I785" s="63"/>
      <c r="J785" s="62"/>
      <c r="X785" s="91"/>
      <c r="Y785" s="91"/>
      <c r="Z785" s="91"/>
      <c r="AA785" s="91"/>
      <c r="AB785" s="91"/>
      <c r="AC785" s="37"/>
    </row>
    <row r="786" spans="1:29">
      <c r="A786" s="102"/>
      <c r="B786" s="103"/>
      <c r="C786" s="103"/>
      <c r="D786" s="104"/>
      <c r="E786" s="61"/>
      <c r="G786" s="60"/>
      <c r="H786" s="62"/>
      <c r="I786" s="63"/>
      <c r="J786" s="62"/>
      <c r="X786" s="91"/>
      <c r="Y786" s="91"/>
      <c r="Z786" s="91"/>
      <c r="AA786" s="91"/>
      <c r="AB786" s="91"/>
      <c r="AC786" s="37"/>
    </row>
    <row r="787" spans="1:29">
      <c r="A787" s="102"/>
      <c r="B787" s="103"/>
      <c r="C787" s="103"/>
      <c r="D787" s="104"/>
      <c r="E787" s="61"/>
      <c r="G787" s="60"/>
      <c r="H787" s="62"/>
      <c r="I787" s="63"/>
      <c r="J787" s="62"/>
      <c r="X787" s="91"/>
      <c r="Y787" s="91"/>
      <c r="Z787" s="91"/>
      <c r="AA787" s="91"/>
      <c r="AB787" s="91"/>
      <c r="AC787" s="37"/>
    </row>
    <row r="788" spans="1:29">
      <c r="A788" s="102"/>
      <c r="B788" s="103"/>
      <c r="C788" s="103"/>
      <c r="D788" s="104"/>
      <c r="E788" s="61"/>
      <c r="G788" s="60"/>
      <c r="H788" s="62"/>
      <c r="I788" s="63"/>
      <c r="J788" s="62"/>
      <c r="X788" s="91"/>
      <c r="Y788" s="91"/>
      <c r="Z788" s="91"/>
      <c r="AA788" s="91"/>
      <c r="AB788" s="91"/>
      <c r="AC788" s="37"/>
    </row>
    <row r="789" spans="1:29">
      <c r="A789" s="102"/>
      <c r="B789" s="103"/>
      <c r="C789" s="103"/>
      <c r="D789" s="104"/>
      <c r="E789" s="61"/>
      <c r="G789" s="60"/>
      <c r="H789" s="62"/>
      <c r="I789" s="63"/>
      <c r="J789" s="62"/>
      <c r="X789" s="91"/>
      <c r="Y789" s="91"/>
      <c r="Z789" s="91"/>
      <c r="AA789" s="91"/>
      <c r="AB789" s="91"/>
      <c r="AC789" s="37"/>
    </row>
    <row r="790" spans="1:29">
      <c r="A790" s="102"/>
      <c r="B790" s="103"/>
      <c r="C790" s="103"/>
      <c r="D790" s="104"/>
      <c r="E790" s="61"/>
      <c r="G790" s="60"/>
      <c r="H790" s="62"/>
      <c r="I790" s="63"/>
      <c r="J790" s="62"/>
      <c r="X790" s="91"/>
      <c r="Y790" s="91"/>
      <c r="Z790" s="91"/>
      <c r="AA790" s="91"/>
      <c r="AB790" s="91"/>
      <c r="AC790" s="37"/>
    </row>
    <row r="791" spans="1:29">
      <c r="A791" s="102"/>
      <c r="B791" s="103"/>
      <c r="C791" s="103"/>
      <c r="D791" s="104"/>
      <c r="E791" s="61"/>
      <c r="G791" s="60"/>
      <c r="H791" s="62"/>
      <c r="I791" s="63"/>
      <c r="J791" s="62"/>
      <c r="X791" s="91"/>
      <c r="Y791" s="91"/>
      <c r="Z791" s="91"/>
      <c r="AA791" s="91"/>
      <c r="AB791" s="91"/>
      <c r="AC791" s="37"/>
    </row>
    <row r="792" spans="1:29">
      <c r="A792" s="102"/>
      <c r="B792" s="103"/>
      <c r="C792" s="103"/>
      <c r="D792" s="104"/>
      <c r="E792" s="61"/>
      <c r="G792" s="60"/>
      <c r="H792" s="62"/>
      <c r="I792" s="63"/>
      <c r="J792" s="62"/>
      <c r="X792" s="91"/>
      <c r="Y792" s="91"/>
      <c r="Z792" s="91"/>
      <c r="AA792" s="91"/>
      <c r="AB792" s="91"/>
      <c r="AC792" s="37"/>
    </row>
    <row r="793" spans="1:29">
      <c r="A793" s="102"/>
      <c r="B793" s="103"/>
      <c r="C793" s="103"/>
      <c r="D793" s="104"/>
      <c r="E793" s="61"/>
      <c r="G793" s="60"/>
      <c r="H793" s="62"/>
      <c r="I793" s="63"/>
      <c r="J793" s="62"/>
      <c r="X793" s="91"/>
      <c r="Y793" s="91"/>
      <c r="Z793" s="91"/>
      <c r="AA793" s="91"/>
      <c r="AB793" s="91"/>
      <c r="AC793" s="37"/>
    </row>
    <row r="794" spans="1:29">
      <c r="A794" s="102"/>
      <c r="B794" s="103"/>
      <c r="C794" s="103"/>
      <c r="D794" s="104"/>
      <c r="E794" s="61"/>
      <c r="G794" s="60"/>
      <c r="H794" s="62"/>
      <c r="I794" s="63"/>
      <c r="J794" s="62"/>
      <c r="X794" s="91"/>
      <c r="Y794" s="91"/>
      <c r="Z794" s="91"/>
      <c r="AA794" s="91"/>
      <c r="AB794" s="91"/>
      <c r="AC794" s="37"/>
    </row>
    <row r="795" spans="1:29">
      <c r="A795" s="102"/>
      <c r="B795" s="103"/>
      <c r="C795" s="103"/>
      <c r="D795" s="104"/>
      <c r="E795" s="61"/>
      <c r="G795" s="60"/>
      <c r="H795" s="62"/>
      <c r="I795" s="63"/>
      <c r="J795" s="62"/>
      <c r="X795" s="91"/>
      <c r="Y795" s="91"/>
      <c r="Z795" s="91"/>
      <c r="AA795" s="91"/>
      <c r="AB795" s="91"/>
      <c r="AC795" s="37"/>
    </row>
    <row r="796" spans="1:29">
      <c r="A796" s="102"/>
      <c r="B796" s="103"/>
      <c r="C796" s="103"/>
      <c r="D796" s="104"/>
      <c r="E796" s="61"/>
      <c r="G796" s="60"/>
      <c r="H796" s="62"/>
      <c r="I796" s="63"/>
      <c r="J796" s="62"/>
      <c r="X796" s="91"/>
      <c r="Y796" s="91"/>
      <c r="Z796" s="91"/>
      <c r="AA796" s="91"/>
      <c r="AB796" s="91"/>
      <c r="AC796" s="37"/>
    </row>
    <row r="797" spans="1:29">
      <c r="A797" s="102"/>
      <c r="B797" s="103"/>
      <c r="C797" s="103"/>
      <c r="D797" s="104"/>
      <c r="E797" s="61"/>
      <c r="G797" s="60"/>
      <c r="H797" s="62"/>
      <c r="I797" s="63"/>
      <c r="J797" s="62"/>
      <c r="X797" s="91"/>
      <c r="Y797" s="91"/>
      <c r="Z797" s="91"/>
      <c r="AA797" s="91"/>
      <c r="AB797" s="91"/>
      <c r="AC797" s="37"/>
    </row>
    <row r="798" spans="1:29">
      <c r="A798" s="102"/>
      <c r="B798" s="103"/>
      <c r="C798" s="103"/>
      <c r="D798" s="104"/>
      <c r="E798" s="61"/>
      <c r="G798" s="60"/>
      <c r="H798" s="62"/>
      <c r="I798" s="63"/>
      <c r="J798" s="62"/>
      <c r="X798" s="91"/>
      <c r="Y798" s="91"/>
      <c r="Z798" s="91"/>
      <c r="AA798" s="91"/>
      <c r="AB798" s="91"/>
      <c r="AC798" s="37"/>
    </row>
    <row r="799" spans="1:29">
      <c r="A799" s="102"/>
      <c r="B799" s="103"/>
      <c r="C799" s="103"/>
      <c r="D799" s="104"/>
      <c r="E799" s="61"/>
      <c r="G799" s="60"/>
      <c r="H799" s="62"/>
      <c r="I799" s="63"/>
      <c r="J799" s="62"/>
      <c r="X799" s="91"/>
      <c r="Y799" s="91"/>
      <c r="Z799" s="91"/>
      <c r="AA799" s="91"/>
      <c r="AB799" s="91"/>
      <c r="AC799" s="37"/>
    </row>
    <row r="800" spans="1:29">
      <c r="A800" s="102"/>
      <c r="B800" s="103"/>
      <c r="C800" s="103"/>
      <c r="D800" s="104"/>
      <c r="E800" s="61"/>
      <c r="G800" s="60"/>
      <c r="H800" s="62"/>
      <c r="I800" s="63"/>
      <c r="J800" s="62"/>
      <c r="X800" s="91"/>
      <c r="Y800" s="91"/>
      <c r="Z800" s="91"/>
      <c r="AA800" s="91"/>
      <c r="AB800" s="91"/>
      <c r="AC800" s="37"/>
    </row>
    <row r="801" spans="1:29">
      <c r="A801" s="102"/>
      <c r="B801" s="103"/>
      <c r="C801" s="103"/>
      <c r="D801" s="104"/>
      <c r="E801" s="61"/>
      <c r="G801" s="60"/>
      <c r="H801" s="62"/>
      <c r="I801" s="63"/>
      <c r="J801" s="62"/>
      <c r="X801" s="91"/>
      <c r="Y801" s="91"/>
      <c r="Z801" s="91"/>
      <c r="AA801" s="91"/>
      <c r="AB801" s="91"/>
      <c r="AC801" s="37"/>
    </row>
    <row r="802" spans="1:29">
      <c r="A802" s="102"/>
      <c r="B802" s="103"/>
      <c r="C802" s="103"/>
      <c r="D802" s="104"/>
      <c r="E802" s="61"/>
      <c r="G802" s="60"/>
      <c r="H802" s="62"/>
      <c r="I802" s="63"/>
      <c r="J802" s="62"/>
      <c r="X802" s="91"/>
      <c r="Y802" s="91"/>
      <c r="Z802" s="91"/>
      <c r="AA802" s="91"/>
      <c r="AB802" s="91"/>
      <c r="AC802" s="37"/>
    </row>
    <row r="803" spans="1:29">
      <c r="A803" s="102"/>
      <c r="B803" s="103"/>
      <c r="C803" s="103"/>
      <c r="D803" s="104"/>
      <c r="E803" s="61"/>
      <c r="G803" s="60"/>
      <c r="H803" s="62"/>
      <c r="I803" s="63"/>
      <c r="J803" s="62"/>
      <c r="X803" s="91"/>
      <c r="Y803" s="91"/>
      <c r="Z803" s="91"/>
      <c r="AA803" s="91"/>
      <c r="AB803" s="91"/>
      <c r="AC803" s="37"/>
    </row>
    <row r="804" spans="1:29">
      <c r="A804" s="102"/>
      <c r="B804" s="103"/>
      <c r="C804" s="103"/>
      <c r="D804" s="104"/>
      <c r="E804" s="61"/>
      <c r="G804" s="60"/>
      <c r="H804" s="62"/>
      <c r="I804" s="63"/>
      <c r="J804" s="62"/>
      <c r="X804" s="91"/>
      <c r="Y804" s="91"/>
      <c r="Z804" s="91"/>
      <c r="AA804" s="91"/>
      <c r="AB804" s="91"/>
      <c r="AC804" s="37"/>
    </row>
    <row r="805" spans="1:29">
      <c r="A805" s="102"/>
      <c r="B805" s="103"/>
      <c r="C805" s="103"/>
      <c r="D805" s="104"/>
      <c r="E805" s="61"/>
      <c r="G805" s="60"/>
      <c r="H805" s="62"/>
      <c r="I805" s="63"/>
      <c r="J805" s="62"/>
      <c r="X805" s="91"/>
      <c r="Y805" s="91"/>
      <c r="Z805" s="91"/>
      <c r="AA805" s="91"/>
      <c r="AB805" s="91"/>
      <c r="AC805" s="37"/>
    </row>
    <row r="806" spans="1:29">
      <c r="A806" s="102"/>
      <c r="B806" s="103"/>
      <c r="C806" s="103"/>
      <c r="D806" s="104"/>
      <c r="E806" s="61"/>
      <c r="G806" s="60"/>
      <c r="H806" s="62"/>
      <c r="I806" s="63"/>
      <c r="J806" s="62"/>
      <c r="X806" s="91"/>
      <c r="Y806" s="91"/>
      <c r="Z806" s="91"/>
      <c r="AA806" s="91"/>
      <c r="AB806" s="91"/>
      <c r="AC806" s="37"/>
    </row>
    <row r="807" spans="1:29">
      <c r="A807" s="102"/>
      <c r="B807" s="103"/>
      <c r="C807" s="103"/>
      <c r="D807" s="104"/>
      <c r="E807" s="61"/>
      <c r="G807" s="60"/>
      <c r="H807" s="62"/>
      <c r="I807" s="63"/>
      <c r="J807" s="62"/>
      <c r="X807" s="91"/>
      <c r="Y807" s="91"/>
      <c r="Z807" s="91"/>
      <c r="AA807" s="91"/>
      <c r="AB807" s="91"/>
      <c r="AC807" s="37"/>
    </row>
    <row r="808" spans="1:29">
      <c r="A808" s="102"/>
      <c r="B808" s="103"/>
      <c r="C808" s="103"/>
      <c r="D808" s="104"/>
      <c r="E808" s="61"/>
      <c r="G808" s="60"/>
      <c r="H808" s="62"/>
      <c r="I808" s="63"/>
      <c r="J808" s="62"/>
      <c r="X808" s="91"/>
      <c r="Y808" s="91"/>
      <c r="Z808" s="91"/>
      <c r="AA808" s="91"/>
      <c r="AB808" s="91"/>
      <c r="AC808" s="37"/>
    </row>
    <row r="809" spans="1:29">
      <c r="A809" s="102"/>
      <c r="B809" s="103"/>
      <c r="C809" s="103"/>
      <c r="D809" s="104"/>
      <c r="E809" s="61"/>
      <c r="G809" s="60"/>
      <c r="H809" s="62"/>
      <c r="I809" s="63"/>
      <c r="J809" s="62"/>
      <c r="X809" s="91"/>
      <c r="Y809" s="91"/>
      <c r="Z809" s="91"/>
      <c r="AA809" s="91"/>
      <c r="AB809" s="91"/>
      <c r="AC809" s="37"/>
    </row>
    <row r="810" spans="1:29">
      <c r="A810" s="102"/>
      <c r="B810" s="103"/>
      <c r="C810" s="103"/>
      <c r="D810" s="104"/>
      <c r="E810" s="61"/>
      <c r="G810" s="60"/>
      <c r="H810" s="62"/>
      <c r="I810" s="63"/>
      <c r="J810" s="62"/>
      <c r="X810" s="91"/>
      <c r="Y810" s="91"/>
      <c r="Z810" s="91"/>
      <c r="AA810" s="91"/>
      <c r="AB810" s="91"/>
      <c r="AC810" s="37"/>
    </row>
    <row r="811" spans="1:29">
      <c r="A811" s="102"/>
      <c r="B811" s="103"/>
      <c r="C811" s="103"/>
      <c r="D811" s="104"/>
      <c r="E811" s="61"/>
      <c r="G811" s="60"/>
      <c r="H811" s="62"/>
      <c r="I811" s="63"/>
      <c r="J811" s="62"/>
      <c r="X811" s="91"/>
      <c r="Y811" s="91"/>
      <c r="Z811" s="91"/>
      <c r="AA811" s="91"/>
      <c r="AB811" s="91"/>
      <c r="AC811" s="37"/>
    </row>
    <row r="812" spans="1:29">
      <c r="A812" s="102"/>
      <c r="B812" s="103"/>
      <c r="C812" s="103"/>
      <c r="D812" s="104"/>
      <c r="E812" s="61"/>
      <c r="G812" s="60"/>
      <c r="H812" s="62"/>
      <c r="I812" s="63"/>
      <c r="J812" s="62"/>
      <c r="X812" s="91"/>
      <c r="Y812" s="91"/>
      <c r="Z812" s="91"/>
      <c r="AA812" s="91"/>
      <c r="AB812" s="91"/>
      <c r="AC812" s="37"/>
    </row>
    <row r="813" spans="1:29">
      <c r="A813" s="102"/>
      <c r="B813" s="103"/>
      <c r="C813" s="103"/>
      <c r="D813" s="104"/>
      <c r="E813" s="61"/>
      <c r="G813" s="60"/>
      <c r="H813" s="62"/>
      <c r="I813" s="63"/>
      <c r="J813" s="62"/>
      <c r="X813" s="91"/>
      <c r="Y813" s="91"/>
      <c r="Z813" s="91"/>
      <c r="AA813" s="91"/>
      <c r="AB813" s="91"/>
      <c r="AC813" s="37"/>
    </row>
    <row r="814" spans="1:29">
      <c r="A814" s="102"/>
      <c r="B814" s="103"/>
      <c r="C814" s="103"/>
      <c r="D814" s="104"/>
      <c r="E814" s="61"/>
      <c r="G814" s="60"/>
      <c r="H814" s="62"/>
      <c r="I814" s="63"/>
      <c r="J814" s="62"/>
      <c r="X814" s="91"/>
      <c r="Y814" s="91"/>
      <c r="Z814" s="91"/>
      <c r="AA814" s="91"/>
      <c r="AB814" s="91"/>
      <c r="AC814" s="37"/>
    </row>
    <row r="815" spans="1:29">
      <c r="A815" s="102"/>
      <c r="B815" s="103"/>
      <c r="C815" s="103"/>
      <c r="D815" s="104"/>
      <c r="E815" s="61"/>
      <c r="G815" s="60"/>
      <c r="H815" s="62"/>
      <c r="I815" s="63"/>
      <c r="J815" s="62"/>
      <c r="X815" s="91"/>
      <c r="Y815" s="91"/>
      <c r="Z815" s="91"/>
      <c r="AA815" s="91"/>
      <c r="AB815" s="91"/>
      <c r="AC815" s="37"/>
    </row>
    <row r="816" spans="1:29">
      <c r="A816" s="102"/>
      <c r="B816" s="103"/>
      <c r="C816" s="103"/>
      <c r="D816" s="104"/>
      <c r="E816" s="61"/>
      <c r="G816" s="60"/>
      <c r="H816" s="62"/>
      <c r="I816" s="63"/>
      <c r="J816" s="62"/>
      <c r="X816" s="91"/>
      <c r="Y816" s="91"/>
      <c r="Z816" s="91"/>
      <c r="AA816" s="91"/>
      <c r="AB816" s="91"/>
      <c r="AC816" s="37"/>
    </row>
    <row r="817" spans="1:29">
      <c r="A817" s="102"/>
      <c r="B817" s="103"/>
      <c r="C817" s="103"/>
      <c r="D817" s="104"/>
      <c r="E817" s="61"/>
      <c r="G817" s="60"/>
      <c r="H817" s="62"/>
      <c r="I817" s="63"/>
      <c r="J817" s="62"/>
      <c r="X817" s="91"/>
      <c r="Y817" s="91"/>
      <c r="Z817" s="91"/>
      <c r="AA817" s="91"/>
      <c r="AB817" s="91"/>
      <c r="AC817" s="37"/>
    </row>
    <row r="818" spans="1:29">
      <c r="A818" s="102"/>
      <c r="B818" s="103"/>
      <c r="C818" s="103"/>
      <c r="D818" s="104"/>
      <c r="E818" s="61"/>
      <c r="G818" s="60"/>
      <c r="H818" s="62"/>
      <c r="I818" s="63"/>
      <c r="J818" s="62"/>
      <c r="X818" s="91"/>
      <c r="Y818" s="91"/>
      <c r="Z818" s="91"/>
      <c r="AA818" s="91"/>
      <c r="AB818" s="91"/>
      <c r="AC818" s="37"/>
    </row>
    <row r="819" spans="1:29">
      <c r="A819" s="102"/>
      <c r="B819" s="103"/>
      <c r="C819" s="103"/>
      <c r="D819" s="104"/>
      <c r="E819" s="61"/>
      <c r="G819" s="60"/>
      <c r="H819" s="62"/>
      <c r="I819" s="63"/>
      <c r="J819" s="62"/>
      <c r="X819" s="91"/>
      <c r="Y819" s="91"/>
      <c r="Z819" s="91"/>
      <c r="AA819" s="91"/>
      <c r="AB819" s="91"/>
      <c r="AC819" s="37"/>
    </row>
    <row r="820" spans="1:29">
      <c r="A820" s="102"/>
      <c r="B820" s="103"/>
      <c r="C820" s="103"/>
      <c r="D820" s="104"/>
      <c r="E820" s="61"/>
      <c r="G820" s="60"/>
      <c r="H820" s="62"/>
      <c r="I820" s="63"/>
      <c r="J820" s="62"/>
      <c r="X820" s="91"/>
      <c r="Y820" s="91"/>
      <c r="Z820" s="91"/>
      <c r="AA820" s="91"/>
      <c r="AB820" s="91"/>
      <c r="AC820" s="37"/>
    </row>
    <row r="821" spans="1:29">
      <c r="A821" s="102"/>
      <c r="B821" s="103"/>
      <c r="C821" s="103"/>
      <c r="D821" s="104"/>
      <c r="E821" s="61"/>
      <c r="G821" s="60"/>
      <c r="H821" s="62"/>
      <c r="I821" s="63"/>
      <c r="J821" s="62"/>
      <c r="X821" s="91"/>
      <c r="Y821" s="91"/>
      <c r="Z821" s="91"/>
      <c r="AA821" s="91"/>
      <c r="AB821" s="91"/>
      <c r="AC821" s="37"/>
    </row>
    <row r="822" spans="1:29">
      <c r="A822" s="102"/>
      <c r="B822" s="103"/>
      <c r="C822" s="103"/>
      <c r="D822" s="104"/>
      <c r="E822" s="61"/>
      <c r="G822" s="60"/>
      <c r="H822" s="62"/>
      <c r="I822" s="63"/>
      <c r="J822" s="62"/>
      <c r="X822" s="91"/>
      <c r="Y822" s="91"/>
      <c r="Z822" s="91"/>
      <c r="AA822" s="91"/>
      <c r="AB822" s="91"/>
      <c r="AC822" s="37"/>
    </row>
    <row r="823" spans="1:29">
      <c r="A823" s="102"/>
      <c r="B823" s="103"/>
      <c r="C823" s="103"/>
      <c r="D823" s="104"/>
      <c r="E823" s="61"/>
      <c r="G823" s="60"/>
      <c r="H823" s="62"/>
      <c r="I823" s="63"/>
      <c r="J823" s="62"/>
      <c r="X823" s="91"/>
      <c r="Y823" s="91"/>
      <c r="Z823" s="91"/>
      <c r="AA823" s="91"/>
      <c r="AB823" s="91"/>
      <c r="AC823" s="37"/>
    </row>
    <row r="824" spans="1:29">
      <c r="A824" s="102"/>
      <c r="B824" s="103"/>
      <c r="C824" s="103"/>
      <c r="D824" s="104"/>
      <c r="E824" s="61"/>
      <c r="G824" s="60"/>
      <c r="H824" s="62"/>
      <c r="I824" s="63"/>
      <c r="J824" s="62"/>
      <c r="X824" s="91"/>
      <c r="Y824" s="91"/>
      <c r="Z824" s="91"/>
      <c r="AA824" s="91"/>
      <c r="AB824" s="91"/>
      <c r="AC824" s="37"/>
    </row>
    <row r="825" spans="1:29">
      <c r="A825" s="102"/>
      <c r="B825" s="103"/>
      <c r="C825" s="103"/>
      <c r="D825" s="104"/>
      <c r="E825" s="61"/>
      <c r="G825" s="60"/>
      <c r="H825" s="62"/>
      <c r="I825" s="63"/>
      <c r="J825" s="62"/>
      <c r="X825" s="91"/>
      <c r="Y825" s="91"/>
      <c r="Z825" s="91"/>
      <c r="AA825" s="91"/>
      <c r="AB825" s="91"/>
      <c r="AC825" s="37"/>
    </row>
    <row r="826" spans="1:29">
      <c r="A826" s="102"/>
      <c r="B826" s="103"/>
      <c r="C826" s="103"/>
      <c r="D826" s="104"/>
      <c r="E826" s="61"/>
      <c r="G826" s="60"/>
      <c r="H826" s="62"/>
      <c r="I826" s="63"/>
      <c r="J826" s="62"/>
      <c r="X826" s="91"/>
      <c r="Y826" s="91"/>
      <c r="Z826" s="91"/>
      <c r="AA826" s="91"/>
      <c r="AB826" s="91"/>
      <c r="AC826" s="37"/>
    </row>
    <row r="827" spans="1:29">
      <c r="A827" s="102"/>
      <c r="B827" s="103"/>
      <c r="C827" s="103"/>
      <c r="D827" s="104"/>
      <c r="E827" s="61"/>
      <c r="G827" s="60"/>
      <c r="H827" s="62"/>
      <c r="I827" s="63"/>
      <c r="J827" s="62"/>
      <c r="X827" s="91"/>
      <c r="Y827" s="91"/>
      <c r="Z827" s="91"/>
      <c r="AA827" s="91"/>
      <c r="AB827" s="91"/>
      <c r="AC827" s="37"/>
    </row>
    <row r="828" spans="1:29">
      <c r="A828" s="102"/>
      <c r="B828" s="103"/>
      <c r="C828" s="103"/>
      <c r="D828" s="104"/>
      <c r="E828" s="61"/>
      <c r="G828" s="60"/>
      <c r="H828" s="62"/>
      <c r="I828" s="63"/>
      <c r="J828" s="62"/>
      <c r="X828" s="91"/>
      <c r="Y828" s="91"/>
      <c r="Z828" s="91"/>
      <c r="AA828" s="91"/>
      <c r="AB828" s="91"/>
      <c r="AC828" s="37"/>
    </row>
    <row r="829" spans="1:29">
      <c r="A829" s="102"/>
      <c r="B829" s="103"/>
      <c r="C829" s="103"/>
      <c r="D829" s="104"/>
      <c r="E829" s="61"/>
      <c r="G829" s="60"/>
      <c r="H829" s="62"/>
      <c r="I829" s="63"/>
      <c r="J829" s="62"/>
      <c r="X829" s="91"/>
      <c r="Y829" s="91"/>
      <c r="Z829" s="91"/>
      <c r="AA829" s="91"/>
      <c r="AB829" s="91"/>
      <c r="AC829" s="37"/>
    </row>
    <row r="830" spans="1:29">
      <c r="A830" s="102"/>
      <c r="B830" s="103"/>
      <c r="C830" s="103"/>
      <c r="D830" s="104"/>
      <c r="E830" s="61"/>
      <c r="G830" s="60"/>
      <c r="H830" s="62"/>
      <c r="I830" s="63"/>
      <c r="J830" s="62"/>
      <c r="X830" s="91"/>
      <c r="Y830" s="91"/>
      <c r="Z830" s="91"/>
      <c r="AA830" s="91"/>
      <c r="AB830" s="91"/>
      <c r="AC830" s="37"/>
    </row>
    <row r="831" spans="1:29">
      <c r="A831" s="102"/>
      <c r="B831" s="103"/>
      <c r="C831" s="103"/>
      <c r="D831" s="104"/>
      <c r="E831" s="61"/>
      <c r="G831" s="60"/>
      <c r="H831" s="62"/>
      <c r="I831" s="63"/>
      <c r="J831" s="62"/>
      <c r="X831" s="91"/>
      <c r="Y831" s="91"/>
      <c r="Z831" s="91"/>
      <c r="AA831" s="91"/>
      <c r="AB831" s="91"/>
      <c r="AC831" s="37"/>
    </row>
    <row r="832" spans="1:29">
      <c r="A832" s="102"/>
      <c r="B832" s="103"/>
      <c r="C832" s="103"/>
      <c r="D832" s="104"/>
      <c r="E832" s="61"/>
      <c r="G832" s="60"/>
      <c r="H832" s="62"/>
      <c r="I832" s="63"/>
      <c r="J832" s="62"/>
      <c r="X832" s="91"/>
      <c r="Y832" s="91"/>
      <c r="Z832" s="91"/>
      <c r="AA832" s="91"/>
      <c r="AB832" s="91"/>
      <c r="AC832" s="37"/>
    </row>
    <row r="833" spans="1:29">
      <c r="A833" s="102"/>
      <c r="B833" s="103"/>
      <c r="C833" s="103"/>
      <c r="D833" s="104"/>
      <c r="E833" s="61"/>
      <c r="G833" s="60"/>
      <c r="H833" s="62"/>
      <c r="I833" s="63"/>
      <c r="J833" s="62"/>
      <c r="X833" s="91"/>
      <c r="Y833" s="91"/>
      <c r="Z833" s="91"/>
      <c r="AA833" s="91"/>
      <c r="AB833" s="91"/>
      <c r="AC833" s="37"/>
    </row>
    <row r="834" spans="1:29">
      <c r="A834" s="102"/>
      <c r="B834" s="103"/>
      <c r="C834" s="103"/>
      <c r="D834" s="104"/>
      <c r="E834" s="61"/>
      <c r="G834" s="60"/>
      <c r="H834" s="62"/>
      <c r="I834" s="63"/>
      <c r="J834" s="62"/>
      <c r="X834" s="91"/>
      <c r="Y834" s="91"/>
      <c r="Z834" s="91"/>
      <c r="AA834" s="91"/>
      <c r="AB834" s="91"/>
      <c r="AC834" s="37"/>
    </row>
    <row r="835" spans="1:29">
      <c r="A835" s="102"/>
      <c r="B835" s="103"/>
      <c r="C835" s="103"/>
      <c r="D835" s="104"/>
      <c r="E835" s="61"/>
      <c r="G835" s="60"/>
      <c r="H835" s="62"/>
      <c r="I835" s="63"/>
      <c r="J835" s="62"/>
      <c r="X835" s="91"/>
      <c r="Y835" s="91"/>
      <c r="Z835" s="91"/>
      <c r="AA835" s="91"/>
      <c r="AB835" s="91"/>
      <c r="AC835" s="37"/>
    </row>
    <row r="836" spans="1:29">
      <c r="A836" s="102"/>
      <c r="B836" s="103"/>
      <c r="C836" s="103"/>
      <c r="D836" s="104"/>
      <c r="E836" s="61"/>
      <c r="G836" s="60"/>
      <c r="H836" s="62"/>
      <c r="I836" s="63"/>
      <c r="J836" s="62"/>
      <c r="X836" s="91"/>
      <c r="Y836" s="91"/>
      <c r="Z836" s="91"/>
      <c r="AA836" s="91"/>
      <c r="AB836" s="91"/>
      <c r="AC836" s="37"/>
    </row>
    <row r="837" spans="1:29">
      <c r="A837" s="102"/>
      <c r="B837" s="103"/>
      <c r="C837" s="103"/>
      <c r="D837" s="104"/>
      <c r="E837" s="61"/>
      <c r="G837" s="60"/>
      <c r="H837" s="62"/>
      <c r="I837" s="63"/>
      <c r="J837" s="62"/>
      <c r="X837" s="91"/>
      <c r="Y837" s="91"/>
      <c r="Z837" s="91"/>
      <c r="AA837" s="91"/>
      <c r="AB837" s="91"/>
      <c r="AC837" s="37"/>
    </row>
    <row r="838" spans="1:29">
      <c r="A838" s="102"/>
      <c r="B838" s="103"/>
      <c r="C838" s="103"/>
      <c r="D838" s="104"/>
      <c r="E838" s="61"/>
      <c r="G838" s="60"/>
      <c r="H838" s="62"/>
      <c r="I838" s="63"/>
      <c r="J838" s="62"/>
      <c r="X838" s="91"/>
      <c r="Y838" s="91"/>
      <c r="Z838" s="91"/>
      <c r="AA838" s="91"/>
      <c r="AB838" s="91"/>
      <c r="AC838" s="37"/>
    </row>
    <row r="839" spans="1:29">
      <c r="A839" s="102"/>
      <c r="B839" s="103"/>
      <c r="C839" s="103"/>
      <c r="D839" s="104"/>
      <c r="E839" s="61"/>
      <c r="G839" s="60"/>
      <c r="H839" s="62"/>
      <c r="I839" s="63"/>
      <c r="J839" s="62"/>
      <c r="X839" s="91"/>
      <c r="Y839" s="91"/>
      <c r="Z839" s="91"/>
      <c r="AA839" s="91"/>
      <c r="AB839" s="91"/>
      <c r="AC839" s="37"/>
    </row>
    <row r="840" spans="1:29">
      <c r="A840" s="102"/>
      <c r="B840" s="103"/>
      <c r="C840" s="103"/>
      <c r="D840" s="104"/>
      <c r="E840" s="61"/>
      <c r="G840" s="60"/>
      <c r="H840" s="62"/>
      <c r="I840" s="63"/>
      <c r="J840" s="62"/>
      <c r="X840" s="91"/>
      <c r="Y840" s="91"/>
      <c r="Z840" s="91"/>
      <c r="AA840" s="91"/>
      <c r="AB840" s="91"/>
      <c r="AC840" s="37"/>
    </row>
    <row r="841" spans="1:29">
      <c r="A841" s="102"/>
      <c r="B841" s="103"/>
      <c r="C841" s="103"/>
      <c r="D841" s="104"/>
      <c r="E841" s="61"/>
      <c r="G841" s="60"/>
      <c r="H841" s="62"/>
      <c r="I841" s="63"/>
      <c r="J841" s="62"/>
      <c r="X841" s="91"/>
      <c r="Y841" s="91"/>
      <c r="Z841" s="91"/>
      <c r="AA841" s="91"/>
      <c r="AB841" s="91"/>
      <c r="AC841" s="37"/>
    </row>
    <row r="842" spans="1:29">
      <c r="A842" s="102"/>
      <c r="B842" s="103"/>
      <c r="C842" s="103"/>
      <c r="D842" s="104"/>
      <c r="E842" s="61"/>
      <c r="G842" s="60"/>
      <c r="H842" s="62"/>
      <c r="I842" s="63"/>
      <c r="J842" s="62"/>
      <c r="X842" s="91"/>
      <c r="Y842" s="91"/>
      <c r="Z842" s="91"/>
      <c r="AA842" s="91"/>
      <c r="AB842" s="91"/>
      <c r="AC842" s="37"/>
    </row>
    <row r="843" spans="1:29">
      <c r="A843" s="102"/>
      <c r="B843" s="103"/>
      <c r="C843" s="103"/>
      <c r="D843" s="104"/>
      <c r="E843" s="61"/>
      <c r="G843" s="60"/>
      <c r="H843" s="62"/>
      <c r="I843" s="63"/>
      <c r="J843" s="62"/>
      <c r="X843" s="91"/>
      <c r="Y843" s="91"/>
      <c r="Z843" s="91"/>
      <c r="AA843" s="91"/>
      <c r="AB843" s="91"/>
      <c r="AC843" s="37"/>
    </row>
    <row r="844" spans="1:29">
      <c r="A844" s="102"/>
      <c r="B844" s="103"/>
      <c r="C844" s="103"/>
      <c r="D844" s="104"/>
      <c r="E844" s="61"/>
      <c r="G844" s="60"/>
      <c r="H844" s="62"/>
      <c r="I844" s="63"/>
      <c r="J844" s="62"/>
      <c r="X844" s="91"/>
      <c r="Y844" s="91"/>
      <c r="Z844" s="91"/>
      <c r="AA844" s="91"/>
      <c r="AB844" s="91"/>
      <c r="AC844" s="37"/>
    </row>
    <row r="845" spans="1:29">
      <c r="A845" s="102"/>
      <c r="B845" s="103"/>
      <c r="C845" s="103"/>
      <c r="D845" s="104"/>
      <c r="E845" s="61"/>
      <c r="G845" s="60"/>
      <c r="H845" s="62"/>
      <c r="I845" s="63"/>
      <c r="J845" s="62"/>
      <c r="X845" s="91"/>
      <c r="Y845" s="91"/>
      <c r="Z845" s="91"/>
      <c r="AA845" s="91"/>
      <c r="AB845" s="91"/>
      <c r="AC845" s="37"/>
    </row>
    <row r="846" spans="1:29">
      <c r="A846" s="102"/>
      <c r="B846" s="103"/>
      <c r="C846" s="103"/>
      <c r="D846" s="104"/>
      <c r="E846" s="61"/>
      <c r="G846" s="60"/>
      <c r="H846" s="62"/>
      <c r="I846" s="63"/>
      <c r="J846" s="62"/>
      <c r="X846" s="91"/>
      <c r="Y846" s="91"/>
      <c r="Z846" s="91"/>
      <c r="AA846" s="91"/>
      <c r="AB846" s="91"/>
      <c r="AC846" s="37"/>
    </row>
    <row r="847" spans="1:29">
      <c r="A847" s="102"/>
      <c r="B847" s="103"/>
      <c r="C847" s="103"/>
      <c r="D847" s="104"/>
      <c r="E847" s="61"/>
      <c r="G847" s="60"/>
      <c r="H847" s="62"/>
      <c r="I847" s="63"/>
      <c r="J847" s="62"/>
      <c r="X847" s="91"/>
      <c r="Y847" s="91"/>
      <c r="Z847" s="91"/>
      <c r="AA847" s="91"/>
      <c r="AB847" s="91"/>
      <c r="AC847" s="37"/>
    </row>
    <row r="848" spans="1:29">
      <c r="A848" s="102"/>
      <c r="B848" s="103"/>
      <c r="C848" s="103"/>
      <c r="D848" s="104"/>
      <c r="E848" s="61"/>
      <c r="G848" s="60"/>
      <c r="H848" s="62"/>
      <c r="I848" s="63"/>
      <c r="J848" s="62"/>
      <c r="X848" s="91"/>
      <c r="Y848" s="91"/>
      <c r="Z848" s="91"/>
      <c r="AA848" s="91"/>
      <c r="AB848" s="91"/>
      <c r="AC848" s="37"/>
    </row>
    <row r="849" spans="1:29">
      <c r="A849" s="102"/>
      <c r="B849" s="103"/>
      <c r="C849" s="103"/>
      <c r="D849" s="104"/>
      <c r="E849" s="61"/>
      <c r="G849" s="60"/>
      <c r="H849" s="62"/>
      <c r="I849" s="63"/>
      <c r="J849" s="62"/>
      <c r="X849" s="91"/>
      <c r="Y849" s="91"/>
      <c r="Z849" s="91"/>
      <c r="AA849" s="91"/>
      <c r="AB849" s="91"/>
      <c r="AC849" s="37"/>
    </row>
    <row r="850" spans="1:29">
      <c r="A850" s="102"/>
      <c r="B850" s="103"/>
      <c r="C850" s="103"/>
      <c r="D850" s="104"/>
      <c r="E850" s="61"/>
      <c r="G850" s="60"/>
      <c r="H850" s="62"/>
      <c r="I850" s="63"/>
      <c r="J850" s="62"/>
      <c r="X850" s="91"/>
      <c r="Y850" s="91"/>
      <c r="Z850" s="91"/>
      <c r="AA850" s="91"/>
      <c r="AB850" s="91"/>
      <c r="AC850" s="37"/>
    </row>
    <row r="851" spans="1:29">
      <c r="A851" s="102"/>
      <c r="B851" s="103"/>
      <c r="C851" s="103"/>
      <c r="D851" s="104"/>
      <c r="E851" s="61"/>
      <c r="G851" s="60"/>
      <c r="H851" s="62"/>
      <c r="I851" s="63"/>
      <c r="J851" s="62"/>
      <c r="X851" s="91"/>
      <c r="Y851" s="91"/>
      <c r="Z851" s="91"/>
      <c r="AA851" s="91"/>
      <c r="AB851" s="91"/>
      <c r="AC851" s="37"/>
    </row>
    <row r="852" spans="1:29">
      <c r="A852" s="102"/>
      <c r="B852" s="103"/>
      <c r="C852" s="103"/>
      <c r="D852" s="104"/>
      <c r="E852" s="61"/>
      <c r="G852" s="60"/>
      <c r="H852" s="62"/>
      <c r="I852" s="63"/>
      <c r="J852" s="62"/>
      <c r="X852" s="91"/>
      <c r="Y852" s="91"/>
      <c r="Z852" s="91"/>
      <c r="AA852" s="91"/>
      <c r="AB852" s="91"/>
      <c r="AC852" s="37"/>
    </row>
    <row r="853" spans="1:29">
      <c r="A853" s="102"/>
      <c r="B853" s="103"/>
      <c r="C853" s="103"/>
      <c r="D853" s="104"/>
      <c r="E853" s="61"/>
      <c r="G853" s="60"/>
      <c r="H853" s="62"/>
      <c r="I853" s="63"/>
      <c r="J853" s="62"/>
      <c r="X853" s="91"/>
      <c r="Y853" s="91"/>
      <c r="Z853" s="91"/>
      <c r="AA853" s="91"/>
      <c r="AB853" s="91"/>
      <c r="AC853" s="37"/>
    </row>
    <row r="854" spans="1:29">
      <c r="A854" s="102"/>
      <c r="B854" s="103"/>
      <c r="C854" s="103"/>
      <c r="D854" s="104"/>
      <c r="E854" s="61"/>
      <c r="G854" s="60"/>
      <c r="H854" s="62"/>
      <c r="I854" s="63"/>
      <c r="J854" s="62"/>
      <c r="X854" s="91"/>
      <c r="Y854" s="91"/>
      <c r="Z854" s="91"/>
      <c r="AA854" s="91"/>
      <c r="AB854" s="91"/>
      <c r="AC854" s="37"/>
    </row>
    <row r="855" spans="1:29">
      <c r="A855" s="102"/>
      <c r="B855" s="103"/>
      <c r="C855" s="103"/>
      <c r="D855" s="104"/>
      <c r="E855" s="61"/>
      <c r="G855" s="60"/>
      <c r="H855" s="62"/>
      <c r="I855" s="63"/>
      <c r="J855" s="62"/>
      <c r="X855" s="91"/>
      <c r="Y855" s="91"/>
      <c r="Z855" s="91"/>
      <c r="AA855" s="91"/>
      <c r="AB855" s="91"/>
      <c r="AC855" s="37"/>
    </row>
    <row r="856" spans="1:29">
      <c r="A856" s="102"/>
      <c r="B856" s="103"/>
      <c r="C856" s="103"/>
      <c r="D856" s="104"/>
      <c r="E856" s="61"/>
      <c r="G856" s="60"/>
      <c r="H856" s="62"/>
      <c r="I856" s="63"/>
      <c r="J856" s="62"/>
      <c r="X856" s="91"/>
      <c r="Y856" s="91"/>
      <c r="Z856" s="91"/>
      <c r="AA856" s="91"/>
      <c r="AB856" s="91"/>
      <c r="AC856" s="37"/>
    </row>
    <row r="857" spans="1:29">
      <c r="A857" s="102"/>
      <c r="B857" s="103"/>
      <c r="C857" s="103"/>
      <c r="D857" s="104"/>
      <c r="E857" s="61"/>
      <c r="G857" s="60"/>
      <c r="H857" s="62"/>
      <c r="I857" s="63"/>
      <c r="J857" s="62"/>
      <c r="X857" s="91"/>
      <c r="Y857" s="91"/>
      <c r="Z857" s="91"/>
      <c r="AA857" s="91"/>
      <c r="AB857" s="91"/>
      <c r="AC857" s="37"/>
    </row>
    <row r="858" spans="1:29">
      <c r="A858" s="102"/>
      <c r="B858" s="103"/>
      <c r="C858" s="103"/>
      <c r="D858" s="104"/>
      <c r="E858" s="61"/>
      <c r="G858" s="60"/>
      <c r="H858" s="62"/>
      <c r="I858" s="63"/>
      <c r="J858" s="62"/>
      <c r="X858" s="91"/>
      <c r="Y858" s="91"/>
      <c r="Z858" s="91"/>
      <c r="AA858" s="91"/>
      <c r="AB858" s="91"/>
      <c r="AC858" s="37"/>
    </row>
    <row r="859" spans="1:29">
      <c r="A859" s="102"/>
      <c r="B859" s="103"/>
      <c r="C859" s="103"/>
      <c r="D859" s="104"/>
      <c r="E859" s="61"/>
      <c r="G859" s="60"/>
      <c r="H859" s="62"/>
      <c r="I859" s="63"/>
      <c r="J859" s="62"/>
      <c r="X859" s="91"/>
      <c r="Y859" s="91"/>
      <c r="Z859" s="91"/>
      <c r="AA859" s="91"/>
      <c r="AB859" s="91"/>
      <c r="AC859" s="37"/>
    </row>
    <row r="860" spans="1:29">
      <c r="A860" s="102"/>
      <c r="B860" s="103"/>
      <c r="C860" s="103"/>
      <c r="D860" s="104"/>
      <c r="E860" s="61"/>
      <c r="G860" s="60"/>
      <c r="H860" s="62"/>
      <c r="I860" s="63"/>
      <c r="J860" s="62"/>
      <c r="X860" s="91"/>
      <c r="Y860" s="91"/>
      <c r="Z860" s="91"/>
      <c r="AA860" s="91"/>
      <c r="AB860" s="91"/>
      <c r="AC860" s="37"/>
    </row>
    <row r="861" spans="1:29">
      <c r="A861" s="102"/>
      <c r="B861" s="103"/>
      <c r="C861" s="103"/>
      <c r="D861" s="104"/>
      <c r="E861" s="61"/>
      <c r="G861" s="60"/>
      <c r="H861" s="62"/>
      <c r="I861" s="63"/>
      <c r="J861" s="62"/>
      <c r="X861" s="91"/>
      <c r="Y861" s="91"/>
      <c r="Z861" s="91"/>
      <c r="AA861" s="91"/>
      <c r="AB861" s="91"/>
      <c r="AC861" s="37"/>
    </row>
    <row r="862" spans="1:29">
      <c r="A862" s="102"/>
      <c r="B862" s="103"/>
      <c r="C862" s="103"/>
      <c r="D862" s="104"/>
      <c r="E862" s="61"/>
      <c r="G862" s="60"/>
      <c r="H862" s="62"/>
      <c r="I862" s="63"/>
      <c r="J862" s="62"/>
      <c r="X862" s="91"/>
      <c r="Y862" s="91"/>
      <c r="Z862" s="91"/>
      <c r="AA862" s="91"/>
      <c r="AB862" s="91"/>
      <c r="AC862" s="37"/>
    </row>
    <row r="863" spans="1:29">
      <c r="A863" s="102"/>
      <c r="B863" s="103"/>
      <c r="C863" s="103"/>
      <c r="D863" s="104"/>
      <c r="E863" s="61"/>
      <c r="G863" s="60"/>
      <c r="H863" s="62"/>
      <c r="I863" s="63"/>
      <c r="J863" s="62"/>
      <c r="X863" s="91"/>
      <c r="Y863" s="91"/>
      <c r="Z863" s="91"/>
      <c r="AA863" s="91"/>
      <c r="AB863" s="91"/>
      <c r="AC863" s="37"/>
    </row>
    <row r="864" spans="1:29">
      <c r="A864" s="102"/>
      <c r="B864" s="103"/>
      <c r="C864" s="103"/>
      <c r="D864" s="104"/>
      <c r="E864" s="61"/>
      <c r="G864" s="60"/>
      <c r="H864" s="62"/>
      <c r="I864" s="63"/>
      <c r="J864" s="62"/>
      <c r="X864" s="91"/>
      <c r="Y864" s="91"/>
      <c r="Z864" s="91"/>
      <c r="AA864" s="91"/>
      <c r="AB864" s="91"/>
      <c r="AC864" s="37"/>
    </row>
    <row r="865" spans="1:29">
      <c r="A865" s="102"/>
      <c r="B865" s="103"/>
      <c r="C865" s="103"/>
      <c r="D865" s="104"/>
      <c r="E865" s="61"/>
      <c r="G865" s="60"/>
      <c r="H865" s="62"/>
      <c r="I865" s="63"/>
      <c r="J865" s="62"/>
      <c r="X865" s="91"/>
      <c r="Y865" s="91"/>
      <c r="Z865" s="91"/>
      <c r="AA865" s="91"/>
      <c r="AB865" s="91"/>
      <c r="AC865" s="37"/>
    </row>
    <row r="866" spans="1:29">
      <c r="A866" s="102"/>
      <c r="B866" s="103"/>
      <c r="C866" s="103"/>
      <c r="D866" s="104"/>
      <c r="E866" s="61"/>
      <c r="G866" s="60"/>
      <c r="H866" s="62"/>
      <c r="I866" s="63"/>
      <c r="J866" s="62"/>
      <c r="X866" s="91"/>
      <c r="Y866" s="91"/>
      <c r="Z866" s="91"/>
      <c r="AA866" s="91"/>
      <c r="AB866" s="91"/>
      <c r="AC866" s="37"/>
    </row>
    <row r="867" spans="1:29">
      <c r="A867" s="102"/>
      <c r="B867" s="103"/>
      <c r="C867" s="103"/>
      <c r="D867" s="104"/>
      <c r="E867" s="61"/>
      <c r="G867" s="60"/>
      <c r="H867" s="62"/>
      <c r="I867" s="63"/>
      <c r="J867" s="62"/>
      <c r="X867" s="91"/>
      <c r="Y867" s="91"/>
      <c r="Z867" s="91"/>
      <c r="AA867" s="91"/>
      <c r="AB867" s="91"/>
      <c r="AC867" s="37"/>
    </row>
    <row r="868" spans="1:29">
      <c r="A868" s="102"/>
      <c r="B868" s="103"/>
      <c r="C868" s="103"/>
      <c r="D868" s="104"/>
      <c r="E868" s="61"/>
      <c r="G868" s="60"/>
      <c r="H868" s="62"/>
      <c r="I868" s="63"/>
      <c r="J868" s="62"/>
      <c r="X868" s="91"/>
      <c r="Y868" s="91"/>
      <c r="Z868" s="91"/>
      <c r="AA868" s="91"/>
      <c r="AB868" s="91"/>
      <c r="AC868" s="37"/>
    </row>
    <row r="869" spans="1:29">
      <c r="A869" s="102"/>
      <c r="B869" s="103"/>
      <c r="C869" s="103"/>
      <c r="D869" s="104"/>
      <c r="E869" s="61"/>
      <c r="G869" s="60"/>
      <c r="H869" s="62"/>
      <c r="I869" s="63"/>
      <c r="J869" s="62"/>
      <c r="X869" s="91"/>
      <c r="Y869" s="91"/>
      <c r="Z869" s="91"/>
      <c r="AA869" s="91"/>
      <c r="AB869" s="91"/>
      <c r="AC869" s="37"/>
    </row>
    <row r="870" spans="1:29">
      <c r="A870" s="102"/>
      <c r="B870" s="103"/>
      <c r="C870" s="103"/>
      <c r="D870" s="104"/>
      <c r="E870" s="61"/>
      <c r="G870" s="60"/>
      <c r="H870" s="62"/>
      <c r="I870" s="63"/>
      <c r="J870" s="62"/>
      <c r="X870" s="91"/>
      <c r="Y870" s="91"/>
      <c r="Z870" s="91"/>
      <c r="AA870" s="91"/>
      <c r="AB870" s="91"/>
      <c r="AC870" s="37"/>
    </row>
    <row r="871" spans="1:29">
      <c r="A871" s="102"/>
      <c r="B871" s="103"/>
      <c r="C871" s="103"/>
      <c r="D871" s="104"/>
      <c r="E871" s="61"/>
      <c r="G871" s="60"/>
      <c r="H871" s="62"/>
      <c r="I871" s="63"/>
      <c r="J871" s="62"/>
      <c r="X871" s="91"/>
      <c r="Y871" s="91"/>
      <c r="Z871" s="91"/>
      <c r="AA871" s="91"/>
      <c r="AB871" s="91"/>
      <c r="AC871" s="37"/>
    </row>
    <row r="872" spans="1:29">
      <c r="A872" s="102"/>
      <c r="B872" s="103"/>
      <c r="C872" s="103"/>
      <c r="D872" s="104"/>
      <c r="E872" s="61"/>
      <c r="G872" s="60"/>
      <c r="H872" s="62"/>
      <c r="I872" s="63"/>
      <c r="J872" s="62"/>
      <c r="X872" s="91"/>
      <c r="Y872" s="91"/>
      <c r="Z872" s="91"/>
      <c r="AA872" s="91"/>
      <c r="AB872" s="91"/>
      <c r="AC872" s="37"/>
    </row>
    <row r="873" spans="1:29">
      <c r="A873" s="102"/>
      <c r="B873" s="103"/>
      <c r="C873" s="103"/>
      <c r="D873" s="104"/>
      <c r="E873" s="61"/>
      <c r="G873" s="60"/>
      <c r="H873" s="62"/>
      <c r="I873" s="63"/>
      <c r="J873" s="62"/>
      <c r="X873" s="91"/>
      <c r="Y873" s="91"/>
      <c r="Z873" s="91"/>
      <c r="AA873" s="91"/>
      <c r="AB873" s="91"/>
      <c r="AC873" s="37"/>
    </row>
    <row r="874" spans="1:29">
      <c r="A874" s="102"/>
      <c r="B874" s="103"/>
      <c r="C874" s="103"/>
      <c r="D874" s="104"/>
      <c r="E874" s="61"/>
      <c r="G874" s="60"/>
      <c r="H874" s="62"/>
      <c r="I874" s="63"/>
      <c r="J874" s="62"/>
      <c r="X874" s="91"/>
      <c r="Y874" s="91"/>
      <c r="Z874" s="91"/>
      <c r="AA874" s="91"/>
      <c r="AB874" s="91"/>
      <c r="AC874" s="37"/>
    </row>
    <row r="875" spans="1:29">
      <c r="A875" s="102"/>
      <c r="B875" s="103"/>
      <c r="C875" s="103"/>
      <c r="D875" s="104"/>
      <c r="E875" s="61"/>
      <c r="G875" s="60"/>
      <c r="H875" s="62"/>
      <c r="I875" s="63"/>
      <c r="J875" s="62"/>
      <c r="X875" s="91"/>
      <c r="Y875" s="91"/>
      <c r="Z875" s="91"/>
      <c r="AA875" s="91"/>
      <c r="AB875" s="91"/>
      <c r="AC875" s="37"/>
    </row>
    <row r="876" spans="1:29">
      <c r="A876" s="102"/>
      <c r="B876" s="103"/>
      <c r="C876" s="103"/>
      <c r="D876" s="104"/>
      <c r="E876" s="61"/>
      <c r="G876" s="60"/>
      <c r="H876" s="62"/>
      <c r="I876" s="63"/>
      <c r="J876" s="62"/>
      <c r="X876" s="91"/>
      <c r="Y876" s="91"/>
      <c r="Z876" s="91"/>
      <c r="AA876" s="91"/>
      <c r="AB876" s="91"/>
      <c r="AC876" s="37"/>
    </row>
    <row r="877" spans="1:29">
      <c r="A877" s="102"/>
      <c r="B877" s="103"/>
      <c r="C877" s="103"/>
      <c r="D877" s="104"/>
      <c r="E877" s="61"/>
      <c r="G877" s="60"/>
      <c r="H877" s="62"/>
      <c r="I877" s="63"/>
      <c r="J877" s="62"/>
      <c r="X877" s="91"/>
      <c r="Y877" s="91"/>
      <c r="Z877" s="91"/>
      <c r="AA877" s="91"/>
      <c r="AB877" s="91"/>
      <c r="AC877" s="37"/>
    </row>
    <row r="878" spans="1:29">
      <c r="A878" s="102"/>
      <c r="B878" s="103"/>
      <c r="C878" s="103"/>
      <c r="D878" s="104"/>
      <c r="E878" s="61"/>
      <c r="G878" s="60"/>
      <c r="H878" s="62"/>
      <c r="I878" s="63"/>
      <c r="J878" s="62"/>
      <c r="X878" s="91"/>
      <c r="Y878" s="91"/>
      <c r="Z878" s="91"/>
      <c r="AA878" s="91"/>
      <c r="AB878" s="91"/>
      <c r="AC878" s="37"/>
    </row>
    <row r="879" spans="1:29">
      <c r="A879" s="102"/>
      <c r="B879" s="103"/>
      <c r="C879" s="103"/>
      <c r="D879" s="104"/>
      <c r="E879" s="61"/>
      <c r="G879" s="60"/>
      <c r="H879" s="62"/>
      <c r="I879" s="63"/>
      <c r="J879" s="62"/>
      <c r="X879" s="91"/>
      <c r="Y879" s="91"/>
      <c r="Z879" s="91"/>
      <c r="AA879" s="91"/>
      <c r="AB879" s="91"/>
      <c r="AC879" s="37"/>
    </row>
    <row r="880" spans="1:29">
      <c r="A880" s="102"/>
      <c r="B880" s="103"/>
      <c r="C880" s="103"/>
      <c r="D880" s="104"/>
      <c r="E880" s="61"/>
      <c r="G880" s="60"/>
      <c r="H880" s="62"/>
      <c r="I880" s="63"/>
      <c r="J880" s="62"/>
      <c r="X880" s="91"/>
      <c r="Y880" s="91"/>
      <c r="Z880" s="91"/>
      <c r="AA880" s="91"/>
      <c r="AB880" s="91"/>
      <c r="AC880" s="37"/>
    </row>
    <row r="881" spans="1:29">
      <c r="A881" s="102"/>
      <c r="B881" s="103"/>
      <c r="C881" s="103"/>
      <c r="D881" s="104"/>
      <c r="E881" s="61"/>
      <c r="G881" s="60"/>
      <c r="H881" s="62"/>
      <c r="I881" s="63"/>
      <c r="J881" s="62"/>
      <c r="X881" s="91"/>
      <c r="Y881" s="91"/>
      <c r="Z881" s="91"/>
      <c r="AA881" s="91"/>
      <c r="AB881" s="91"/>
      <c r="AC881" s="37"/>
    </row>
    <row r="882" spans="1:29">
      <c r="A882" s="102"/>
      <c r="B882" s="103"/>
      <c r="C882" s="103"/>
      <c r="D882" s="104"/>
      <c r="E882" s="61"/>
      <c r="G882" s="60"/>
      <c r="H882" s="62"/>
      <c r="I882" s="63"/>
      <c r="J882" s="62"/>
      <c r="X882" s="91"/>
      <c r="Y882" s="91"/>
      <c r="Z882" s="91"/>
      <c r="AA882" s="91"/>
      <c r="AB882" s="91"/>
      <c r="AC882" s="37"/>
    </row>
    <row r="883" spans="1:29">
      <c r="A883" s="102"/>
      <c r="B883" s="103"/>
      <c r="C883" s="103"/>
      <c r="D883" s="104"/>
      <c r="E883" s="61"/>
      <c r="G883" s="60"/>
      <c r="H883" s="62"/>
      <c r="I883" s="63"/>
      <c r="J883" s="62"/>
      <c r="X883" s="91"/>
      <c r="Y883" s="91"/>
      <c r="Z883" s="91"/>
      <c r="AA883" s="91"/>
      <c r="AB883" s="91"/>
      <c r="AC883" s="37"/>
    </row>
    <row r="884" spans="1:29">
      <c r="A884" s="102"/>
      <c r="B884" s="103"/>
      <c r="C884" s="103"/>
      <c r="D884" s="104"/>
      <c r="E884" s="61"/>
      <c r="G884" s="60"/>
      <c r="H884" s="62"/>
      <c r="I884" s="63"/>
      <c r="J884" s="62"/>
      <c r="X884" s="91"/>
      <c r="Y884" s="91"/>
      <c r="Z884" s="91"/>
      <c r="AA884" s="91"/>
      <c r="AB884" s="91"/>
      <c r="AC884" s="37"/>
    </row>
    <row r="885" spans="1:29">
      <c r="A885" s="102"/>
      <c r="B885" s="103"/>
      <c r="C885" s="103"/>
      <c r="D885" s="104"/>
      <c r="E885" s="61"/>
      <c r="G885" s="60"/>
      <c r="H885" s="62"/>
      <c r="I885" s="63"/>
      <c r="J885" s="62"/>
      <c r="X885" s="91"/>
      <c r="Y885" s="91"/>
      <c r="Z885" s="91"/>
      <c r="AA885" s="91"/>
      <c r="AB885" s="91"/>
      <c r="AC885" s="37"/>
    </row>
    <row r="886" spans="1:29">
      <c r="A886" s="102"/>
      <c r="B886" s="103"/>
      <c r="C886" s="103"/>
      <c r="D886" s="104"/>
      <c r="E886" s="61"/>
      <c r="G886" s="60"/>
      <c r="H886" s="62"/>
      <c r="I886" s="63"/>
      <c r="J886" s="62"/>
      <c r="X886" s="91"/>
      <c r="Y886" s="91"/>
      <c r="Z886" s="91"/>
      <c r="AA886" s="91"/>
      <c r="AB886" s="91"/>
      <c r="AC886" s="37"/>
    </row>
    <row r="887" spans="1:29">
      <c r="A887" s="102"/>
      <c r="B887" s="103"/>
      <c r="C887" s="103"/>
      <c r="D887" s="104"/>
      <c r="E887" s="61"/>
      <c r="G887" s="60"/>
      <c r="H887" s="62"/>
      <c r="I887" s="63"/>
      <c r="J887" s="62"/>
      <c r="X887" s="91"/>
      <c r="Y887" s="91"/>
      <c r="Z887" s="91"/>
      <c r="AA887" s="91"/>
      <c r="AB887" s="91"/>
      <c r="AC887" s="37"/>
    </row>
    <row r="888" spans="1:29">
      <c r="A888" s="102"/>
      <c r="B888" s="103"/>
      <c r="C888" s="103"/>
      <c r="D888" s="104"/>
      <c r="E888" s="61"/>
      <c r="G888" s="60"/>
      <c r="H888" s="62"/>
      <c r="I888" s="63"/>
      <c r="J888" s="62"/>
      <c r="X888" s="91"/>
      <c r="Y888" s="91"/>
      <c r="Z888" s="91"/>
      <c r="AA888" s="91"/>
      <c r="AB888" s="91"/>
      <c r="AC888" s="37"/>
    </row>
    <row r="889" spans="1:29">
      <c r="A889" s="102"/>
      <c r="B889" s="103"/>
      <c r="C889" s="103"/>
      <c r="D889" s="104"/>
      <c r="E889" s="61"/>
      <c r="G889" s="60"/>
      <c r="H889" s="62"/>
      <c r="I889" s="63"/>
      <c r="J889" s="62"/>
      <c r="X889" s="91"/>
      <c r="Y889" s="91"/>
      <c r="Z889" s="91"/>
      <c r="AA889" s="91"/>
      <c r="AB889" s="91"/>
      <c r="AC889" s="37"/>
    </row>
    <row r="890" spans="1:29">
      <c r="A890" s="102"/>
      <c r="B890" s="103"/>
      <c r="C890" s="103"/>
      <c r="D890" s="104"/>
      <c r="E890" s="61"/>
      <c r="G890" s="60"/>
      <c r="H890" s="62"/>
      <c r="I890" s="63"/>
      <c r="J890" s="62"/>
      <c r="X890" s="91"/>
      <c r="Y890" s="91"/>
      <c r="Z890" s="91"/>
      <c r="AA890" s="91"/>
      <c r="AB890" s="91"/>
      <c r="AC890" s="37"/>
    </row>
    <row r="891" spans="1:29">
      <c r="A891" s="102"/>
      <c r="B891" s="103"/>
      <c r="C891" s="103"/>
      <c r="D891" s="104"/>
      <c r="E891" s="61"/>
      <c r="G891" s="60"/>
      <c r="H891" s="62"/>
      <c r="I891" s="63"/>
      <c r="J891" s="62"/>
      <c r="X891" s="91"/>
      <c r="Y891" s="91"/>
      <c r="Z891" s="91"/>
      <c r="AA891" s="91"/>
      <c r="AB891" s="91"/>
      <c r="AC891" s="37"/>
    </row>
    <row r="892" spans="1:29">
      <c r="A892" s="102"/>
      <c r="B892" s="103"/>
      <c r="C892" s="103"/>
      <c r="D892" s="104"/>
      <c r="E892" s="61"/>
      <c r="G892" s="60"/>
      <c r="H892" s="62"/>
      <c r="I892" s="63"/>
      <c r="J892" s="62"/>
      <c r="X892" s="91"/>
      <c r="Y892" s="91"/>
      <c r="Z892" s="91"/>
      <c r="AA892" s="91"/>
      <c r="AB892" s="91"/>
      <c r="AC892" s="37"/>
    </row>
    <row r="893" spans="1:29">
      <c r="A893" s="102"/>
      <c r="B893" s="103"/>
      <c r="C893" s="103"/>
      <c r="D893" s="104"/>
      <c r="E893" s="61"/>
      <c r="G893" s="60"/>
      <c r="H893" s="62"/>
      <c r="I893" s="63"/>
      <c r="J893" s="62"/>
      <c r="X893" s="91"/>
      <c r="Y893" s="91"/>
      <c r="Z893" s="91"/>
      <c r="AA893" s="91"/>
      <c r="AB893" s="91"/>
      <c r="AC893" s="37"/>
    </row>
    <row r="894" spans="1:29">
      <c r="A894" s="102"/>
      <c r="B894" s="103"/>
      <c r="C894" s="103"/>
      <c r="D894" s="104"/>
      <c r="E894" s="61"/>
      <c r="G894" s="60"/>
      <c r="H894" s="62"/>
      <c r="I894" s="63"/>
      <c r="J894" s="62"/>
      <c r="X894" s="91"/>
      <c r="Y894" s="91"/>
      <c r="Z894" s="91"/>
      <c r="AA894" s="91"/>
      <c r="AB894" s="91"/>
      <c r="AC894" s="37"/>
    </row>
    <row r="895" spans="1:29">
      <c r="A895" s="102"/>
      <c r="B895" s="103"/>
      <c r="C895" s="103"/>
      <c r="D895" s="104"/>
      <c r="E895" s="61"/>
      <c r="G895" s="60"/>
      <c r="H895" s="62"/>
      <c r="I895" s="63"/>
      <c r="J895" s="62"/>
      <c r="X895" s="91"/>
      <c r="Y895" s="91"/>
      <c r="Z895" s="91"/>
      <c r="AA895" s="91"/>
      <c r="AB895" s="91"/>
      <c r="AC895" s="37"/>
    </row>
    <row r="896" spans="1:29">
      <c r="A896" s="102"/>
      <c r="B896" s="103"/>
      <c r="C896" s="103"/>
      <c r="D896" s="104"/>
      <c r="E896" s="61"/>
      <c r="G896" s="60"/>
      <c r="H896" s="62"/>
      <c r="I896" s="63"/>
      <c r="J896" s="62"/>
      <c r="X896" s="91"/>
      <c r="Y896" s="91"/>
      <c r="Z896" s="91"/>
      <c r="AA896" s="91"/>
      <c r="AB896" s="91"/>
      <c r="AC896" s="37"/>
    </row>
    <row r="897" spans="1:29">
      <c r="A897" s="102"/>
      <c r="B897" s="103"/>
      <c r="C897" s="103"/>
      <c r="D897" s="104"/>
      <c r="E897" s="61"/>
      <c r="G897" s="60"/>
      <c r="H897" s="62"/>
      <c r="I897" s="63"/>
      <c r="J897" s="62"/>
      <c r="X897" s="91"/>
      <c r="Y897" s="91"/>
      <c r="Z897" s="91"/>
      <c r="AA897" s="91"/>
      <c r="AB897" s="91"/>
      <c r="AC897" s="37"/>
    </row>
    <row r="898" spans="1:29">
      <c r="A898" s="102"/>
      <c r="B898" s="103"/>
      <c r="C898" s="103"/>
      <c r="D898" s="104"/>
      <c r="E898" s="61"/>
      <c r="G898" s="60"/>
      <c r="H898" s="62"/>
      <c r="I898" s="63"/>
      <c r="J898" s="62"/>
      <c r="X898" s="91"/>
      <c r="Y898" s="91"/>
      <c r="Z898" s="91"/>
      <c r="AA898" s="91"/>
      <c r="AB898" s="91"/>
      <c r="AC898" s="37"/>
    </row>
    <row r="899" spans="1:29">
      <c r="A899" s="102"/>
      <c r="B899" s="103"/>
      <c r="C899" s="103"/>
      <c r="D899" s="104"/>
      <c r="E899" s="61"/>
      <c r="G899" s="60"/>
      <c r="H899" s="62"/>
      <c r="I899" s="63"/>
      <c r="J899" s="62"/>
      <c r="X899" s="91"/>
      <c r="Y899" s="91"/>
      <c r="Z899" s="91"/>
      <c r="AA899" s="91"/>
      <c r="AB899" s="91"/>
      <c r="AC899" s="37"/>
    </row>
    <row r="900" spans="1:29">
      <c r="A900" s="102"/>
      <c r="B900" s="103"/>
      <c r="C900" s="103"/>
      <c r="D900" s="104"/>
      <c r="E900" s="61"/>
      <c r="G900" s="60"/>
      <c r="H900" s="62"/>
      <c r="I900" s="63"/>
      <c r="J900" s="62"/>
      <c r="X900" s="91"/>
      <c r="Y900" s="91"/>
      <c r="Z900" s="91"/>
      <c r="AA900" s="91"/>
      <c r="AB900" s="91"/>
      <c r="AC900" s="37"/>
    </row>
    <row r="901" spans="1:29">
      <c r="A901" s="102"/>
      <c r="B901" s="103"/>
      <c r="C901" s="103"/>
      <c r="D901" s="104"/>
      <c r="E901" s="61"/>
      <c r="G901" s="60"/>
      <c r="H901" s="62"/>
      <c r="I901" s="63"/>
      <c r="J901" s="62"/>
      <c r="X901" s="91"/>
      <c r="Y901" s="91"/>
      <c r="Z901" s="91"/>
      <c r="AA901" s="91"/>
      <c r="AB901" s="91"/>
      <c r="AC901" s="37"/>
    </row>
    <row r="902" spans="1:29">
      <c r="A902" s="102"/>
      <c r="B902" s="103"/>
      <c r="C902" s="103"/>
      <c r="D902" s="104"/>
      <c r="E902" s="61"/>
      <c r="G902" s="60"/>
      <c r="H902" s="62"/>
      <c r="I902" s="63"/>
      <c r="J902" s="62"/>
      <c r="X902" s="91"/>
      <c r="Y902" s="91"/>
      <c r="Z902" s="91"/>
      <c r="AA902" s="91"/>
      <c r="AB902" s="91"/>
      <c r="AC902" s="37"/>
    </row>
    <row r="903" spans="1:29">
      <c r="A903" s="102"/>
      <c r="B903" s="103"/>
      <c r="C903" s="103"/>
      <c r="D903" s="104"/>
      <c r="E903" s="61"/>
      <c r="G903" s="60"/>
      <c r="H903" s="62"/>
      <c r="I903" s="63"/>
      <c r="J903" s="62"/>
      <c r="X903" s="91"/>
      <c r="Y903" s="91"/>
      <c r="Z903" s="91"/>
      <c r="AA903" s="91"/>
      <c r="AB903" s="91"/>
      <c r="AC903" s="37"/>
    </row>
    <row r="904" spans="1:29">
      <c r="A904" s="102"/>
      <c r="B904" s="103"/>
      <c r="C904" s="103"/>
      <c r="D904" s="104"/>
      <c r="E904" s="61"/>
      <c r="G904" s="60"/>
      <c r="H904" s="62"/>
      <c r="I904" s="63"/>
      <c r="J904" s="62"/>
      <c r="X904" s="91"/>
      <c r="Y904" s="91"/>
      <c r="Z904" s="91"/>
      <c r="AA904" s="91"/>
      <c r="AB904" s="91"/>
      <c r="AC904" s="37"/>
    </row>
    <row r="905" spans="1:29">
      <c r="A905" s="102"/>
      <c r="B905" s="103"/>
      <c r="C905" s="103"/>
      <c r="D905" s="104"/>
      <c r="E905" s="61"/>
      <c r="G905" s="60"/>
      <c r="H905" s="62"/>
      <c r="I905" s="63"/>
      <c r="J905" s="62"/>
      <c r="X905" s="91"/>
      <c r="Y905" s="91"/>
      <c r="Z905" s="91"/>
      <c r="AA905" s="91"/>
      <c r="AB905" s="91"/>
      <c r="AC905" s="37"/>
    </row>
    <row r="906" spans="1:29">
      <c r="A906" s="102"/>
      <c r="B906" s="103"/>
      <c r="C906" s="103"/>
      <c r="D906" s="104"/>
      <c r="E906" s="61"/>
      <c r="G906" s="60"/>
      <c r="H906" s="62"/>
      <c r="I906" s="63"/>
      <c r="J906" s="62"/>
      <c r="X906" s="91"/>
      <c r="Y906" s="91"/>
      <c r="Z906" s="91"/>
      <c r="AA906" s="91"/>
      <c r="AB906" s="91"/>
      <c r="AC906" s="37"/>
    </row>
    <row r="907" spans="1:29">
      <c r="A907" s="102"/>
      <c r="B907" s="103"/>
      <c r="C907" s="103"/>
      <c r="D907" s="104"/>
      <c r="E907" s="61"/>
      <c r="G907" s="60"/>
      <c r="H907" s="62"/>
      <c r="I907" s="63"/>
      <c r="J907" s="62"/>
      <c r="X907" s="91"/>
      <c r="Y907" s="91"/>
      <c r="Z907" s="91"/>
      <c r="AA907" s="91"/>
      <c r="AB907" s="91"/>
      <c r="AC907" s="37"/>
    </row>
    <row r="908" spans="1:29">
      <c r="A908" s="102"/>
      <c r="B908" s="103"/>
      <c r="C908" s="103"/>
      <c r="D908" s="104"/>
      <c r="E908" s="61"/>
      <c r="G908" s="60"/>
      <c r="H908" s="62"/>
      <c r="I908" s="63"/>
      <c r="J908" s="62"/>
      <c r="X908" s="91"/>
      <c r="Y908" s="91"/>
      <c r="Z908" s="91"/>
      <c r="AA908" s="91"/>
      <c r="AB908" s="91"/>
      <c r="AC908" s="37"/>
    </row>
    <row r="909" spans="1:29">
      <c r="A909" s="102"/>
      <c r="B909" s="103"/>
      <c r="C909" s="103"/>
      <c r="D909" s="104"/>
      <c r="E909" s="61"/>
      <c r="G909" s="60"/>
      <c r="H909" s="62"/>
      <c r="I909" s="63"/>
      <c r="J909" s="62"/>
      <c r="X909" s="91"/>
      <c r="Y909" s="91"/>
      <c r="Z909" s="91"/>
      <c r="AA909" s="91"/>
      <c r="AB909" s="91"/>
      <c r="AC909" s="37"/>
    </row>
    <row r="910" spans="1:29">
      <c r="A910" s="102"/>
      <c r="B910" s="103"/>
      <c r="C910" s="103"/>
      <c r="D910" s="104"/>
      <c r="E910" s="61"/>
      <c r="G910" s="60"/>
      <c r="H910" s="62"/>
      <c r="I910" s="63"/>
      <c r="J910" s="62"/>
      <c r="X910" s="91"/>
      <c r="Y910" s="91"/>
      <c r="Z910" s="91"/>
      <c r="AA910" s="91"/>
      <c r="AB910" s="91"/>
      <c r="AC910" s="37"/>
    </row>
    <row r="911" spans="1:29">
      <c r="A911" s="102"/>
      <c r="B911" s="103"/>
      <c r="C911" s="103"/>
      <c r="D911" s="104"/>
      <c r="E911" s="61"/>
      <c r="G911" s="60"/>
      <c r="H911" s="62"/>
      <c r="I911" s="63"/>
      <c r="J911" s="62"/>
      <c r="X911" s="91"/>
      <c r="Y911" s="91"/>
      <c r="Z911" s="91"/>
      <c r="AA911" s="91"/>
      <c r="AB911" s="91"/>
      <c r="AC911" s="37"/>
    </row>
    <row r="912" spans="1:29">
      <c r="A912" s="102"/>
      <c r="B912" s="103"/>
      <c r="C912" s="103"/>
      <c r="D912" s="104"/>
      <c r="E912" s="61"/>
      <c r="G912" s="60"/>
      <c r="H912" s="62"/>
      <c r="I912" s="63"/>
      <c r="J912" s="62"/>
      <c r="X912" s="91"/>
      <c r="Y912" s="91"/>
      <c r="Z912" s="91"/>
      <c r="AA912" s="91"/>
      <c r="AB912" s="91"/>
      <c r="AC912" s="37"/>
    </row>
    <row r="913" spans="1:29">
      <c r="A913" s="102"/>
      <c r="B913" s="103"/>
      <c r="C913" s="103"/>
      <c r="D913" s="104"/>
      <c r="E913" s="61"/>
      <c r="G913" s="60"/>
      <c r="H913" s="62"/>
      <c r="I913" s="63"/>
      <c r="J913" s="62"/>
      <c r="X913" s="91"/>
      <c r="Y913" s="91"/>
      <c r="Z913" s="91"/>
      <c r="AA913" s="91"/>
      <c r="AB913" s="91"/>
      <c r="AC913" s="37"/>
    </row>
    <row r="914" spans="1:29">
      <c r="A914" s="102"/>
      <c r="B914" s="103"/>
      <c r="C914" s="103"/>
      <c r="D914" s="104"/>
      <c r="E914" s="61"/>
      <c r="G914" s="60"/>
      <c r="H914" s="62"/>
      <c r="I914" s="63"/>
      <c r="J914" s="62"/>
      <c r="X914" s="91"/>
      <c r="Y914" s="91"/>
      <c r="Z914" s="91"/>
      <c r="AA914" s="91"/>
      <c r="AB914" s="91"/>
      <c r="AC914" s="37"/>
    </row>
    <row r="915" spans="1:29">
      <c r="A915" s="102"/>
      <c r="B915" s="103"/>
      <c r="C915" s="103"/>
      <c r="D915" s="104"/>
      <c r="E915" s="61"/>
      <c r="G915" s="60"/>
      <c r="H915" s="62"/>
      <c r="I915" s="63"/>
      <c r="J915" s="62"/>
      <c r="X915" s="91"/>
      <c r="Y915" s="91"/>
      <c r="Z915" s="91"/>
      <c r="AA915" s="91"/>
      <c r="AB915" s="91"/>
      <c r="AC915" s="37"/>
    </row>
    <row r="916" spans="1:29">
      <c r="A916" s="102"/>
      <c r="B916" s="103"/>
      <c r="C916" s="103"/>
      <c r="D916" s="104"/>
      <c r="E916" s="61"/>
      <c r="G916" s="60"/>
      <c r="H916" s="62"/>
      <c r="I916" s="63"/>
      <c r="J916" s="62"/>
      <c r="X916" s="91"/>
      <c r="Y916" s="91"/>
      <c r="Z916" s="91"/>
      <c r="AA916" s="91"/>
      <c r="AB916" s="91"/>
      <c r="AC916" s="37"/>
    </row>
    <row r="917" spans="1:29">
      <c r="A917" s="102"/>
      <c r="B917" s="103"/>
      <c r="C917" s="103"/>
      <c r="D917" s="104"/>
      <c r="E917" s="61"/>
      <c r="G917" s="60"/>
      <c r="H917" s="62"/>
      <c r="I917" s="63"/>
      <c r="J917" s="62"/>
      <c r="X917" s="91"/>
      <c r="Y917" s="91"/>
      <c r="Z917" s="91"/>
      <c r="AA917" s="91"/>
      <c r="AB917" s="91"/>
      <c r="AC917" s="37"/>
    </row>
    <row r="918" spans="1:29">
      <c r="A918" s="102"/>
      <c r="B918" s="103"/>
      <c r="C918" s="103"/>
      <c r="D918" s="104"/>
      <c r="E918" s="61"/>
      <c r="G918" s="60"/>
      <c r="H918" s="62"/>
      <c r="I918" s="63"/>
      <c r="J918" s="62"/>
      <c r="X918" s="91"/>
      <c r="Y918" s="91"/>
      <c r="Z918" s="91"/>
      <c r="AA918" s="91"/>
      <c r="AB918" s="91"/>
      <c r="AC918" s="37"/>
    </row>
    <row r="919" spans="1:29">
      <c r="A919" s="102"/>
      <c r="B919" s="103"/>
      <c r="C919" s="103"/>
      <c r="D919" s="104"/>
      <c r="E919" s="61"/>
      <c r="G919" s="60"/>
      <c r="H919" s="62"/>
      <c r="I919" s="63"/>
      <c r="J919" s="62"/>
      <c r="X919" s="91"/>
      <c r="Y919" s="91"/>
      <c r="Z919" s="91"/>
      <c r="AA919" s="91"/>
      <c r="AB919" s="91"/>
      <c r="AC919" s="37"/>
    </row>
    <row r="920" spans="1:29">
      <c r="A920" s="102"/>
      <c r="B920" s="103"/>
      <c r="C920" s="103"/>
      <c r="D920" s="104"/>
      <c r="E920" s="61"/>
      <c r="G920" s="60"/>
      <c r="H920" s="62"/>
      <c r="I920" s="63"/>
      <c r="J920" s="62"/>
      <c r="X920" s="91"/>
      <c r="Y920" s="91"/>
      <c r="Z920" s="91"/>
      <c r="AA920" s="91"/>
      <c r="AB920" s="91"/>
      <c r="AC920" s="37"/>
    </row>
    <row r="921" spans="1:29">
      <c r="A921" s="102"/>
      <c r="B921" s="103"/>
      <c r="C921" s="103"/>
      <c r="D921" s="104"/>
      <c r="E921" s="61"/>
      <c r="G921" s="60"/>
      <c r="H921" s="62"/>
      <c r="I921" s="63"/>
      <c r="J921" s="62"/>
      <c r="X921" s="91"/>
      <c r="Y921" s="91"/>
      <c r="Z921" s="91"/>
      <c r="AA921" s="91"/>
      <c r="AB921" s="91"/>
      <c r="AC921" s="37"/>
    </row>
    <row r="922" spans="1:29">
      <c r="A922" s="102"/>
      <c r="B922" s="103"/>
      <c r="C922" s="103"/>
      <c r="D922" s="104"/>
      <c r="E922" s="61"/>
      <c r="G922" s="60"/>
      <c r="H922" s="62"/>
      <c r="I922" s="63"/>
      <c r="J922" s="62"/>
      <c r="X922" s="91"/>
      <c r="Y922" s="91"/>
      <c r="Z922" s="91"/>
      <c r="AA922" s="91"/>
      <c r="AB922" s="91"/>
      <c r="AC922" s="37"/>
    </row>
    <row r="923" spans="1:29">
      <c r="A923" s="102"/>
      <c r="B923" s="103"/>
      <c r="C923" s="103"/>
      <c r="D923" s="104"/>
      <c r="E923" s="61"/>
      <c r="G923" s="60"/>
      <c r="H923" s="62"/>
      <c r="I923" s="63"/>
      <c r="J923" s="62"/>
      <c r="X923" s="91"/>
      <c r="Y923" s="91"/>
      <c r="Z923" s="91"/>
      <c r="AA923" s="91"/>
      <c r="AB923" s="91"/>
      <c r="AC923" s="37"/>
    </row>
    <row r="924" spans="1:29">
      <c r="A924" s="102"/>
      <c r="B924" s="103"/>
      <c r="C924" s="103"/>
      <c r="D924" s="104"/>
      <c r="E924" s="61"/>
      <c r="G924" s="60"/>
      <c r="H924" s="62"/>
      <c r="I924" s="63"/>
      <c r="J924" s="62"/>
      <c r="X924" s="91"/>
      <c r="Y924" s="91"/>
      <c r="Z924" s="91"/>
      <c r="AA924" s="91"/>
      <c r="AB924" s="91"/>
      <c r="AC924" s="37"/>
    </row>
    <row r="925" spans="1:29">
      <c r="A925" s="102"/>
      <c r="B925" s="103"/>
      <c r="C925" s="103"/>
      <c r="D925" s="104"/>
      <c r="E925" s="61"/>
      <c r="G925" s="60"/>
      <c r="H925" s="62"/>
      <c r="I925" s="63"/>
      <c r="J925" s="62"/>
      <c r="X925" s="91"/>
      <c r="Y925" s="91"/>
      <c r="Z925" s="91"/>
      <c r="AA925" s="91"/>
      <c r="AB925" s="91"/>
      <c r="AC925" s="37"/>
    </row>
    <row r="926" spans="1:29">
      <c r="A926" s="102"/>
      <c r="B926" s="103"/>
      <c r="C926" s="103"/>
      <c r="D926" s="104"/>
      <c r="E926" s="61"/>
      <c r="G926" s="60"/>
      <c r="H926" s="62"/>
      <c r="I926" s="63"/>
      <c r="J926" s="62"/>
      <c r="X926" s="91"/>
      <c r="Y926" s="91"/>
      <c r="Z926" s="91"/>
      <c r="AA926" s="91"/>
      <c r="AB926" s="91"/>
      <c r="AC926" s="37"/>
    </row>
    <row r="927" spans="1:29">
      <c r="A927" s="102"/>
      <c r="B927" s="103"/>
      <c r="C927" s="103"/>
      <c r="D927" s="104"/>
      <c r="E927" s="61"/>
      <c r="G927" s="60"/>
      <c r="H927" s="62"/>
      <c r="I927" s="63"/>
      <c r="J927" s="62"/>
      <c r="X927" s="91"/>
      <c r="Y927" s="91"/>
      <c r="Z927" s="91"/>
      <c r="AA927" s="91"/>
      <c r="AB927" s="91"/>
      <c r="AC927" s="37"/>
    </row>
    <row r="928" spans="1:29">
      <c r="A928" s="102"/>
      <c r="B928" s="103"/>
      <c r="C928" s="103"/>
      <c r="D928" s="104"/>
      <c r="E928" s="61"/>
      <c r="G928" s="60"/>
      <c r="H928" s="62"/>
      <c r="I928" s="63"/>
      <c r="J928" s="62"/>
      <c r="X928" s="91"/>
      <c r="Y928" s="91"/>
      <c r="Z928" s="91"/>
      <c r="AA928" s="91"/>
      <c r="AB928" s="91"/>
      <c r="AC928" s="37"/>
    </row>
    <row r="929" spans="1:29">
      <c r="A929" s="102"/>
      <c r="B929" s="103"/>
      <c r="C929" s="103"/>
      <c r="D929" s="104"/>
      <c r="E929" s="61"/>
      <c r="G929" s="60"/>
      <c r="H929" s="62"/>
      <c r="I929" s="63"/>
      <c r="J929" s="62"/>
      <c r="X929" s="91"/>
      <c r="Y929" s="91"/>
      <c r="Z929" s="91"/>
      <c r="AA929" s="91"/>
      <c r="AB929" s="91"/>
      <c r="AC929" s="37"/>
    </row>
    <row r="930" spans="1:29">
      <c r="A930" s="102"/>
      <c r="B930" s="103"/>
      <c r="C930" s="103"/>
      <c r="D930" s="104"/>
      <c r="E930" s="61"/>
      <c r="G930" s="60"/>
      <c r="H930" s="62"/>
      <c r="I930" s="63"/>
      <c r="J930" s="62"/>
      <c r="X930" s="91"/>
      <c r="Y930" s="91"/>
      <c r="Z930" s="91"/>
      <c r="AA930" s="91"/>
      <c r="AB930" s="91"/>
      <c r="AC930" s="37"/>
    </row>
    <row r="931" spans="1:29">
      <c r="A931" s="102"/>
      <c r="B931" s="103"/>
      <c r="C931" s="103"/>
      <c r="D931" s="104"/>
      <c r="E931" s="61"/>
      <c r="G931" s="60"/>
      <c r="H931" s="62"/>
      <c r="I931" s="63"/>
      <c r="J931" s="62"/>
      <c r="X931" s="91"/>
      <c r="Y931" s="91"/>
      <c r="Z931" s="91"/>
      <c r="AA931" s="91"/>
      <c r="AB931" s="91"/>
      <c r="AC931" s="37"/>
    </row>
    <row r="932" spans="1:29">
      <c r="A932" s="102"/>
      <c r="B932" s="103"/>
      <c r="C932" s="103"/>
      <c r="D932" s="104"/>
      <c r="E932" s="61"/>
      <c r="G932" s="60"/>
      <c r="H932" s="62"/>
      <c r="I932" s="63"/>
      <c r="J932" s="62"/>
      <c r="X932" s="91"/>
      <c r="Y932" s="91"/>
      <c r="Z932" s="91"/>
      <c r="AA932" s="91"/>
      <c r="AB932" s="91"/>
      <c r="AC932" s="37"/>
    </row>
    <row r="933" spans="1:29">
      <c r="A933" s="102"/>
      <c r="B933" s="103"/>
      <c r="C933" s="103"/>
      <c r="D933" s="104"/>
      <c r="E933" s="61"/>
      <c r="G933" s="60"/>
      <c r="H933" s="62"/>
      <c r="I933" s="63"/>
      <c r="J933" s="62"/>
      <c r="X933" s="91"/>
      <c r="Y933" s="91"/>
      <c r="Z933" s="91"/>
      <c r="AA933" s="91"/>
      <c r="AB933" s="91"/>
      <c r="AC933" s="37"/>
    </row>
    <row r="934" spans="1:29">
      <c r="A934" s="102"/>
      <c r="B934" s="103"/>
      <c r="C934" s="103"/>
      <c r="D934" s="104"/>
      <c r="E934" s="61"/>
      <c r="G934" s="60"/>
      <c r="H934" s="62"/>
      <c r="I934" s="63"/>
      <c r="J934" s="62"/>
      <c r="X934" s="91"/>
      <c r="Y934" s="91"/>
      <c r="Z934" s="91"/>
      <c r="AA934" s="91"/>
      <c r="AB934" s="91"/>
      <c r="AC934" s="37"/>
    </row>
    <row r="935" spans="1:29">
      <c r="A935" s="102"/>
      <c r="B935" s="103"/>
      <c r="C935" s="103"/>
      <c r="D935" s="104"/>
      <c r="E935" s="61"/>
      <c r="G935" s="60"/>
      <c r="H935" s="62"/>
      <c r="I935" s="63"/>
      <c r="J935" s="62"/>
      <c r="X935" s="91"/>
      <c r="Y935" s="91"/>
      <c r="Z935" s="91"/>
      <c r="AA935" s="91"/>
      <c r="AB935" s="91"/>
      <c r="AC935" s="37"/>
    </row>
    <row r="936" spans="1:29">
      <c r="A936" s="102"/>
      <c r="B936" s="103"/>
      <c r="C936" s="103"/>
      <c r="D936" s="104"/>
      <c r="E936" s="61"/>
      <c r="G936" s="60"/>
      <c r="H936" s="62"/>
      <c r="I936" s="63"/>
      <c r="J936" s="62"/>
      <c r="X936" s="91"/>
      <c r="Y936" s="91"/>
      <c r="Z936" s="91"/>
      <c r="AA936" s="91"/>
      <c r="AB936" s="91"/>
      <c r="AC936" s="37"/>
    </row>
    <row r="937" spans="1:29">
      <c r="A937" s="102"/>
      <c r="B937" s="103"/>
      <c r="C937" s="103"/>
      <c r="D937" s="104"/>
      <c r="E937" s="61"/>
      <c r="G937" s="60"/>
      <c r="H937" s="62"/>
      <c r="I937" s="63"/>
      <c r="J937" s="62"/>
      <c r="X937" s="91"/>
      <c r="Y937" s="91"/>
      <c r="Z937" s="91"/>
      <c r="AA937" s="91"/>
      <c r="AB937" s="91"/>
      <c r="AC937" s="37"/>
    </row>
    <row r="938" spans="1:29">
      <c r="A938" s="102"/>
      <c r="B938" s="103"/>
      <c r="C938" s="103"/>
      <c r="D938" s="104"/>
      <c r="E938" s="61"/>
      <c r="G938" s="60"/>
      <c r="H938" s="62"/>
      <c r="I938" s="63"/>
      <c r="J938" s="62"/>
      <c r="X938" s="91"/>
      <c r="Y938" s="91"/>
      <c r="Z938" s="91"/>
      <c r="AA938" s="91"/>
      <c r="AB938" s="91"/>
      <c r="AC938" s="37"/>
    </row>
    <row r="939" spans="1:29">
      <c r="A939" s="102"/>
      <c r="B939" s="103"/>
      <c r="C939" s="103"/>
      <c r="D939" s="104"/>
      <c r="E939" s="61"/>
      <c r="G939" s="60"/>
      <c r="H939" s="62"/>
      <c r="I939" s="63"/>
      <c r="J939" s="62"/>
      <c r="X939" s="91"/>
      <c r="Y939" s="91"/>
      <c r="Z939" s="91"/>
      <c r="AA939" s="91"/>
      <c r="AB939" s="91"/>
      <c r="AC939" s="37"/>
    </row>
    <row r="940" spans="1:29">
      <c r="A940" s="102"/>
      <c r="B940" s="103"/>
      <c r="C940" s="103"/>
      <c r="D940" s="104"/>
      <c r="E940" s="61"/>
      <c r="G940" s="60"/>
      <c r="H940" s="62"/>
      <c r="I940" s="63"/>
      <c r="J940" s="62"/>
      <c r="X940" s="91"/>
      <c r="Y940" s="91"/>
      <c r="Z940" s="91"/>
      <c r="AA940" s="91"/>
      <c r="AB940" s="91"/>
      <c r="AC940" s="37"/>
    </row>
    <row r="941" spans="1:29">
      <c r="A941" s="102"/>
      <c r="B941" s="103"/>
      <c r="C941" s="103"/>
      <c r="D941" s="104"/>
      <c r="E941" s="61"/>
      <c r="G941" s="60"/>
      <c r="H941" s="62"/>
      <c r="I941" s="63"/>
      <c r="J941" s="62"/>
      <c r="X941" s="91"/>
      <c r="Y941" s="91"/>
      <c r="Z941" s="91"/>
      <c r="AA941" s="91"/>
      <c r="AB941" s="91"/>
      <c r="AC941" s="37"/>
    </row>
    <row r="942" spans="1:29">
      <c r="A942" s="102"/>
      <c r="B942" s="103"/>
      <c r="C942" s="103"/>
      <c r="D942" s="104"/>
      <c r="E942" s="61"/>
      <c r="G942" s="60"/>
      <c r="H942" s="62"/>
      <c r="I942" s="63"/>
      <c r="J942" s="62"/>
      <c r="X942" s="91"/>
      <c r="Y942" s="91"/>
      <c r="Z942" s="91"/>
      <c r="AA942" s="91"/>
      <c r="AB942" s="91"/>
      <c r="AC942" s="37"/>
    </row>
    <row r="943" spans="1:29">
      <c r="A943" s="102"/>
      <c r="B943" s="103"/>
      <c r="C943" s="103"/>
      <c r="D943" s="104"/>
      <c r="E943" s="61"/>
      <c r="G943" s="60"/>
      <c r="H943" s="62"/>
      <c r="I943" s="63"/>
      <c r="J943" s="62"/>
      <c r="X943" s="91"/>
      <c r="Y943" s="91"/>
      <c r="Z943" s="91"/>
      <c r="AA943" s="91"/>
      <c r="AB943" s="91"/>
      <c r="AC943" s="37"/>
    </row>
    <row r="944" spans="1:29">
      <c r="A944" s="102"/>
      <c r="B944" s="103"/>
      <c r="C944" s="103"/>
      <c r="D944" s="104"/>
      <c r="E944" s="61"/>
      <c r="G944" s="60"/>
      <c r="H944" s="62"/>
      <c r="I944" s="63"/>
      <c r="J944" s="62"/>
      <c r="X944" s="91"/>
      <c r="Y944" s="91"/>
      <c r="Z944" s="91"/>
      <c r="AA944" s="91"/>
      <c r="AB944" s="91"/>
      <c r="AC944" s="37"/>
    </row>
    <row r="945" spans="1:29">
      <c r="A945" s="102"/>
      <c r="B945" s="103"/>
      <c r="C945" s="103"/>
      <c r="D945" s="104"/>
      <c r="E945" s="61"/>
      <c r="G945" s="60"/>
      <c r="H945" s="62"/>
      <c r="I945" s="63"/>
      <c r="J945" s="62"/>
      <c r="X945" s="91"/>
      <c r="Y945" s="91"/>
      <c r="Z945" s="91"/>
      <c r="AA945" s="91"/>
      <c r="AB945" s="91"/>
      <c r="AC945" s="37"/>
    </row>
    <row r="946" spans="1:29">
      <c r="A946" s="102"/>
      <c r="B946" s="103"/>
      <c r="C946" s="103"/>
      <c r="D946" s="104"/>
      <c r="E946" s="61"/>
      <c r="G946" s="60"/>
      <c r="H946" s="62"/>
      <c r="I946" s="63"/>
      <c r="J946" s="62"/>
      <c r="X946" s="91"/>
      <c r="Y946" s="91"/>
      <c r="Z946" s="91"/>
      <c r="AA946" s="91"/>
      <c r="AB946" s="91"/>
      <c r="AC946" s="37"/>
    </row>
    <row r="947" spans="1:29">
      <c r="A947" s="102"/>
      <c r="B947" s="103"/>
      <c r="C947" s="103"/>
      <c r="D947" s="104"/>
      <c r="E947" s="61"/>
      <c r="G947" s="60"/>
      <c r="H947" s="62"/>
      <c r="I947" s="63"/>
      <c r="J947" s="62"/>
      <c r="X947" s="91"/>
      <c r="Y947" s="91"/>
      <c r="Z947" s="91"/>
      <c r="AA947" s="91"/>
      <c r="AB947" s="91"/>
      <c r="AC947" s="37"/>
    </row>
    <row r="948" spans="1:29">
      <c r="A948" s="102"/>
      <c r="B948" s="103"/>
      <c r="C948" s="103"/>
      <c r="D948" s="104"/>
      <c r="E948" s="61"/>
      <c r="G948" s="60"/>
      <c r="H948" s="62"/>
      <c r="I948" s="63"/>
      <c r="J948" s="62"/>
      <c r="X948" s="91"/>
      <c r="Y948" s="91"/>
      <c r="Z948" s="91"/>
      <c r="AA948" s="91"/>
      <c r="AB948" s="91"/>
      <c r="AC948" s="37"/>
    </row>
    <row r="949" spans="1:29">
      <c r="A949" s="102"/>
      <c r="B949" s="103"/>
      <c r="C949" s="103"/>
      <c r="D949" s="104"/>
      <c r="E949" s="61"/>
      <c r="G949" s="60"/>
      <c r="H949" s="62"/>
      <c r="I949" s="63"/>
      <c r="J949" s="62"/>
      <c r="X949" s="91"/>
      <c r="Y949" s="91"/>
      <c r="Z949" s="91"/>
      <c r="AA949" s="91"/>
      <c r="AB949" s="91"/>
      <c r="AC949" s="37"/>
    </row>
    <row r="950" spans="1:29">
      <c r="A950" s="102"/>
      <c r="B950" s="103"/>
      <c r="C950" s="103"/>
      <c r="D950" s="104"/>
      <c r="E950" s="61"/>
      <c r="G950" s="60"/>
      <c r="H950" s="62"/>
      <c r="I950" s="63"/>
      <c r="J950" s="62"/>
      <c r="X950" s="91"/>
      <c r="Y950" s="91"/>
      <c r="Z950" s="91"/>
      <c r="AA950" s="91"/>
      <c r="AB950" s="91"/>
      <c r="AC950" s="37"/>
    </row>
    <row r="951" spans="1:29">
      <c r="A951" s="102"/>
      <c r="B951" s="103"/>
      <c r="C951" s="103"/>
      <c r="D951" s="104"/>
      <c r="E951" s="61"/>
      <c r="G951" s="60"/>
      <c r="H951" s="62"/>
      <c r="I951" s="63"/>
      <c r="J951" s="62"/>
      <c r="X951" s="91"/>
      <c r="Y951" s="91"/>
      <c r="Z951" s="91"/>
      <c r="AA951" s="91"/>
      <c r="AB951" s="91"/>
      <c r="AC951" s="37"/>
    </row>
    <row r="952" spans="1:29">
      <c r="A952" s="102"/>
      <c r="B952" s="103"/>
      <c r="C952" s="103"/>
      <c r="D952" s="104"/>
      <c r="E952" s="61"/>
      <c r="G952" s="60"/>
      <c r="H952" s="62"/>
      <c r="I952" s="63"/>
      <c r="J952" s="62"/>
      <c r="X952" s="91"/>
      <c r="Y952" s="91"/>
      <c r="Z952" s="91"/>
      <c r="AA952" s="91"/>
      <c r="AB952" s="91"/>
      <c r="AC952" s="37"/>
    </row>
    <row r="953" spans="1:29">
      <c r="A953" s="102"/>
      <c r="B953" s="103"/>
      <c r="C953" s="103"/>
      <c r="D953" s="104"/>
      <c r="E953" s="61"/>
      <c r="G953" s="60"/>
      <c r="H953" s="62"/>
      <c r="I953" s="63"/>
      <c r="J953" s="62"/>
      <c r="X953" s="91"/>
      <c r="Y953" s="91"/>
      <c r="Z953" s="91"/>
      <c r="AA953" s="91"/>
      <c r="AB953" s="91"/>
      <c r="AC953" s="37"/>
    </row>
    <row r="954" spans="1:29">
      <c r="A954" s="102"/>
      <c r="B954" s="103"/>
      <c r="C954" s="103"/>
      <c r="D954" s="104"/>
      <c r="E954" s="61"/>
      <c r="G954" s="60"/>
      <c r="H954" s="62"/>
      <c r="I954" s="63"/>
      <c r="J954" s="62"/>
      <c r="X954" s="91"/>
      <c r="Y954" s="91"/>
      <c r="Z954" s="91"/>
      <c r="AA954" s="91"/>
      <c r="AB954" s="91"/>
      <c r="AC954" s="37"/>
    </row>
    <row r="955" spans="1:29">
      <c r="A955" s="102"/>
      <c r="B955" s="103"/>
      <c r="C955" s="103"/>
      <c r="D955" s="104"/>
      <c r="E955" s="61"/>
      <c r="G955" s="60"/>
      <c r="H955" s="62"/>
      <c r="I955" s="63"/>
      <c r="J955" s="62"/>
      <c r="X955" s="91"/>
      <c r="Y955" s="91"/>
      <c r="Z955" s="91"/>
      <c r="AA955" s="91"/>
      <c r="AB955" s="91"/>
      <c r="AC955" s="37"/>
    </row>
    <row r="956" spans="1:29">
      <c r="A956" s="102"/>
      <c r="B956" s="103"/>
      <c r="C956" s="103"/>
      <c r="D956" s="104"/>
      <c r="E956" s="61"/>
      <c r="G956" s="60"/>
      <c r="H956" s="62"/>
      <c r="I956" s="63"/>
      <c r="J956" s="62"/>
      <c r="X956" s="91"/>
      <c r="Y956" s="91"/>
      <c r="Z956" s="91"/>
      <c r="AA956" s="91"/>
      <c r="AB956" s="91"/>
      <c r="AC956" s="37"/>
    </row>
    <row r="957" spans="1:29">
      <c r="A957" s="102"/>
      <c r="B957" s="103"/>
      <c r="C957" s="103"/>
      <c r="D957" s="104"/>
      <c r="E957" s="61"/>
      <c r="G957" s="60"/>
      <c r="H957" s="62"/>
      <c r="I957" s="63"/>
      <c r="J957" s="62"/>
      <c r="X957" s="91"/>
      <c r="Y957" s="91"/>
      <c r="Z957" s="91"/>
      <c r="AA957" s="91"/>
      <c r="AB957" s="91"/>
      <c r="AC957" s="37"/>
    </row>
    <row r="958" spans="1:29">
      <c r="A958" s="102"/>
      <c r="B958" s="103"/>
      <c r="C958" s="103"/>
      <c r="D958" s="104"/>
      <c r="E958" s="61"/>
      <c r="G958" s="60"/>
      <c r="H958" s="62"/>
      <c r="I958" s="63"/>
      <c r="J958" s="62"/>
      <c r="X958" s="91"/>
      <c r="Y958" s="91"/>
      <c r="Z958" s="91"/>
      <c r="AA958" s="91"/>
      <c r="AB958" s="91"/>
      <c r="AC958" s="37"/>
    </row>
    <row r="959" spans="1:29">
      <c r="A959" s="102"/>
      <c r="B959" s="103"/>
      <c r="C959" s="103"/>
      <c r="D959" s="104"/>
      <c r="E959" s="61"/>
      <c r="G959" s="60"/>
      <c r="H959" s="62"/>
      <c r="I959" s="63"/>
      <c r="J959" s="62"/>
      <c r="X959" s="91"/>
      <c r="Y959" s="91"/>
      <c r="Z959" s="91"/>
      <c r="AA959" s="91"/>
      <c r="AB959" s="91"/>
      <c r="AC959" s="37"/>
    </row>
    <row r="960" spans="1:29">
      <c r="A960" s="102"/>
      <c r="B960" s="103"/>
      <c r="C960" s="103"/>
      <c r="D960" s="104"/>
      <c r="E960" s="61"/>
      <c r="G960" s="60"/>
      <c r="H960" s="62"/>
      <c r="I960" s="63"/>
      <c r="J960" s="62"/>
      <c r="X960" s="91"/>
      <c r="Y960" s="91"/>
      <c r="Z960" s="91"/>
      <c r="AA960" s="91"/>
      <c r="AB960" s="91"/>
      <c r="AC960" s="37"/>
    </row>
    <row r="961" spans="1:29">
      <c r="A961" s="102"/>
      <c r="B961" s="103"/>
      <c r="C961" s="103"/>
      <c r="D961" s="104"/>
      <c r="E961" s="61"/>
      <c r="G961" s="60"/>
      <c r="H961" s="62"/>
      <c r="I961" s="63"/>
      <c r="J961" s="62"/>
      <c r="X961" s="91"/>
      <c r="Y961" s="91"/>
      <c r="Z961" s="91"/>
      <c r="AA961" s="91"/>
      <c r="AB961" s="91"/>
      <c r="AC961" s="37"/>
    </row>
    <row r="962" spans="1:29">
      <c r="A962" s="102"/>
      <c r="B962" s="103"/>
      <c r="C962" s="103"/>
      <c r="D962" s="104"/>
      <c r="E962" s="61"/>
      <c r="G962" s="60"/>
      <c r="H962" s="62"/>
      <c r="I962" s="63"/>
      <c r="J962" s="62"/>
      <c r="X962" s="91"/>
      <c r="Y962" s="91"/>
      <c r="Z962" s="91"/>
      <c r="AA962" s="91"/>
      <c r="AB962" s="91"/>
      <c r="AC962" s="37"/>
    </row>
    <row r="963" spans="1:29">
      <c r="A963" s="102"/>
      <c r="B963" s="103"/>
      <c r="C963" s="103"/>
      <c r="D963" s="104"/>
      <c r="E963" s="61"/>
      <c r="G963" s="60"/>
      <c r="H963" s="62"/>
      <c r="I963" s="63"/>
      <c r="J963" s="62"/>
      <c r="X963" s="91"/>
      <c r="Y963" s="91"/>
      <c r="Z963" s="91"/>
      <c r="AA963" s="91"/>
      <c r="AB963" s="91"/>
      <c r="AC963" s="37"/>
    </row>
    <row r="964" spans="1:29">
      <c r="A964" s="102"/>
      <c r="B964" s="103"/>
      <c r="C964" s="103"/>
      <c r="D964" s="104"/>
      <c r="E964" s="61"/>
      <c r="G964" s="60"/>
      <c r="H964" s="62"/>
      <c r="I964" s="63"/>
      <c r="J964" s="62"/>
      <c r="X964" s="91"/>
      <c r="Y964" s="91"/>
      <c r="Z964" s="91"/>
      <c r="AA964" s="91"/>
      <c r="AB964" s="91"/>
      <c r="AC964" s="37"/>
    </row>
    <row r="965" spans="1:29">
      <c r="A965" s="102"/>
      <c r="B965" s="103"/>
      <c r="C965" s="103"/>
      <c r="D965" s="104"/>
      <c r="E965" s="61"/>
      <c r="G965" s="60"/>
      <c r="H965" s="62"/>
      <c r="I965" s="63"/>
      <c r="J965" s="62"/>
      <c r="X965" s="91"/>
      <c r="Y965" s="91"/>
      <c r="Z965" s="91"/>
      <c r="AA965" s="91"/>
      <c r="AB965" s="91"/>
      <c r="AC965" s="37"/>
    </row>
    <row r="966" spans="1:29">
      <c r="A966" s="102"/>
      <c r="B966" s="103"/>
      <c r="C966" s="103"/>
      <c r="D966" s="104"/>
      <c r="E966" s="61"/>
      <c r="G966" s="60"/>
      <c r="H966" s="62"/>
      <c r="I966" s="63"/>
      <c r="J966" s="62"/>
      <c r="X966" s="91"/>
      <c r="Y966" s="91"/>
      <c r="Z966" s="91"/>
      <c r="AA966" s="91"/>
      <c r="AB966" s="91"/>
      <c r="AC966" s="37"/>
    </row>
    <row r="967" spans="1:29">
      <c r="A967" s="102"/>
      <c r="B967" s="103"/>
      <c r="C967" s="103"/>
      <c r="D967" s="104"/>
      <c r="E967" s="61"/>
      <c r="G967" s="60"/>
      <c r="H967" s="62"/>
      <c r="I967" s="63"/>
      <c r="J967" s="62"/>
      <c r="X967" s="91"/>
      <c r="Y967" s="91"/>
      <c r="Z967" s="91"/>
      <c r="AA967" s="91"/>
      <c r="AB967" s="91"/>
      <c r="AC967" s="37"/>
    </row>
    <row r="968" spans="1:29">
      <c r="A968" s="102"/>
      <c r="B968" s="103"/>
      <c r="C968" s="103"/>
      <c r="D968" s="104"/>
      <c r="E968" s="61"/>
      <c r="G968" s="60"/>
      <c r="H968" s="62"/>
      <c r="I968" s="63"/>
      <c r="J968" s="62"/>
      <c r="X968" s="91"/>
      <c r="Y968" s="91"/>
      <c r="Z968" s="91"/>
      <c r="AA968" s="91"/>
      <c r="AB968" s="91"/>
      <c r="AC968" s="37"/>
    </row>
    <row r="969" spans="1:29">
      <c r="A969" s="102"/>
      <c r="B969" s="103"/>
      <c r="C969" s="103"/>
      <c r="D969" s="104"/>
      <c r="E969" s="61"/>
      <c r="G969" s="60"/>
      <c r="H969" s="62"/>
      <c r="I969" s="63"/>
      <c r="J969" s="62"/>
      <c r="X969" s="91"/>
      <c r="Y969" s="91"/>
      <c r="Z969" s="91"/>
      <c r="AA969" s="91"/>
      <c r="AB969" s="91"/>
      <c r="AC969" s="37"/>
    </row>
    <row r="970" spans="1:29">
      <c r="A970" s="102"/>
      <c r="B970" s="103"/>
      <c r="C970" s="103"/>
      <c r="D970" s="104"/>
      <c r="E970" s="61"/>
      <c r="G970" s="60"/>
      <c r="H970" s="62"/>
      <c r="I970" s="63"/>
      <c r="J970" s="62"/>
      <c r="X970" s="91"/>
      <c r="Y970" s="91"/>
      <c r="Z970" s="91"/>
      <c r="AA970" s="91"/>
      <c r="AB970" s="91"/>
      <c r="AC970" s="37"/>
    </row>
    <row r="971" spans="1:29">
      <c r="A971" s="102"/>
      <c r="B971" s="103"/>
      <c r="C971" s="103"/>
      <c r="D971" s="104"/>
      <c r="E971" s="61"/>
      <c r="G971" s="60"/>
      <c r="H971" s="62"/>
      <c r="I971" s="63"/>
      <c r="J971" s="62"/>
      <c r="X971" s="91"/>
      <c r="Y971" s="91"/>
      <c r="Z971" s="91"/>
      <c r="AA971" s="91"/>
      <c r="AB971" s="91"/>
      <c r="AC971" s="37"/>
    </row>
    <row r="972" spans="1:29">
      <c r="A972" s="102"/>
      <c r="B972" s="103"/>
      <c r="C972" s="103"/>
      <c r="D972" s="104"/>
      <c r="E972" s="61"/>
      <c r="G972" s="60"/>
      <c r="H972" s="62"/>
      <c r="I972" s="63"/>
      <c r="J972" s="62"/>
      <c r="X972" s="91"/>
      <c r="Y972" s="91"/>
      <c r="Z972" s="91"/>
      <c r="AA972" s="91"/>
      <c r="AB972" s="91"/>
      <c r="AC972" s="37"/>
    </row>
    <row r="973" spans="1:29">
      <c r="A973" s="102"/>
      <c r="B973" s="103"/>
      <c r="C973" s="103"/>
      <c r="D973" s="104"/>
      <c r="E973" s="61"/>
      <c r="G973" s="60"/>
      <c r="H973" s="62"/>
      <c r="I973" s="63"/>
      <c r="J973" s="62"/>
      <c r="X973" s="91"/>
      <c r="Y973" s="91"/>
      <c r="Z973" s="91"/>
      <c r="AA973" s="91"/>
      <c r="AB973" s="91"/>
      <c r="AC973" s="37"/>
    </row>
    <row r="974" spans="1:29">
      <c r="A974" s="102"/>
      <c r="B974" s="103"/>
      <c r="C974" s="103"/>
      <c r="D974" s="104"/>
      <c r="E974" s="61"/>
      <c r="G974" s="60"/>
      <c r="H974" s="62"/>
      <c r="I974" s="63"/>
      <c r="J974" s="62"/>
      <c r="X974" s="91"/>
      <c r="Y974" s="91"/>
      <c r="Z974" s="91"/>
      <c r="AA974" s="91"/>
      <c r="AB974" s="91"/>
      <c r="AC974" s="37"/>
    </row>
    <row r="975" spans="1:29">
      <c r="A975" s="102"/>
      <c r="B975" s="103"/>
      <c r="C975" s="103"/>
      <c r="D975" s="104"/>
      <c r="E975" s="61"/>
      <c r="G975" s="60"/>
      <c r="H975" s="62"/>
      <c r="I975" s="63"/>
      <c r="J975" s="62"/>
      <c r="X975" s="91"/>
      <c r="Y975" s="91"/>
      <c r="Z975" s="91"/>
      <c r="AA975" s="91"/>
      <c r="AB975" s="91"/>
      <c r="AC975" s="37"/>
    </row>
    <row r="976" spans="1:29">
      <c r="A976" s="102"/>
      <c r="B976" s="103"/>
      <c r="C976" s="103"/>
      <c r="D976" s="104"/>
      <c r="E976" s="61"/>
      <c r="G976" s="60"/>
      <c r="H976" s="62"/>
      <c r="I976" s="63"/>
      <c r="J976" s="62"/>
      <c r="X976" s="91"/>
      <c r="Y976" s="91"/>
      <c r="Z976" s="91"/>
      <c r="AA976" s="91"/>
      <c r="AB976" s="91"/>
      <c r="AC976" s="37"/>
    </row>
    <row r="977" spans="1:29">
      <c r="A977" s="102"/>
      <c r="B977" s="103"/>
      <c r="C977" s="103"/>
      <c r="D977" s="104"/>
      <c r="E977" s="61"/>
      <c r="G977" s="60"/>
      <c r="H977" s="62"/>
      <c r="I977" s="63"/>
      <c r="J977" s="62"/>
      <c r="X977" s="91"/>
      <c r="Y977" s="91"/>
      <c r="Z977" s="91"/>
      <c r="AA977" s="91"/>
      <c r="AB977" s="91"/>
      <c r="AC977" s="37"/>
    </row>
    <row r="978" spans="1:29">
      <c r="A978" s="102"/>
      <c r="B978" s="103"/>
      <c r="C978" s="103"/>
      <c r="D978" s="104"/>
      <c r="E978" s="61"/>
      <c r="G978" s="60"/>
      <c r="H978" s="62"/>
      <c r="I978" s="63"/>
      <c r="J978" s="62"/>
      <c r="X978" s="91"/>
      <c r="Y978" s="91"/>
      <c r="Z978" s="91"/>
      <c r="AA978" s="91"/>
      <c r="AB978" s="91"/>
      <c r="AC978" s="37"/>
    </row>
    <row r="979" spans="1:29">
      <c r="A979" s="102"/>
      <c r="B979" s="103"/>
      <c r="C979" s="103"/>
      <c r="D979" s="104"/>
      <c r="E979" s="61"/>
      <c r="G979" s="60"/>
      <c r="H979" s="62"/>
      <c r="I979" s="63"/>
      <c r="J979" s="62"/>
      <c r="X979" s="91"/>
      <c r="Y979" s="91"/>
      <c r="Z979" s="91"/>
      <c r="AA979" s="91"/>
      <c r="AB979" s="91"/>
      <c r="AC979" s="37"/>
    </row>
    <row r="980" spans="1:29">
      <c r="A980" s="102"/>
      <c r="B980" s="103"/>
      <c r="C980" s="103"/>
      <c r="D980" s="104"/>
      <c r="E980" s="61"/>
      <c r="G980" s="60"/>
      <c r="H980" s="62"/>
      <c r="I980" s="63"/>
      <c r="J980" s="62"/>
      <c r="X980" s="91"/>
      <c r="Y980" s="91"/>
      <c r="Z980" s="91"/>
      <c r="AA980" s="91"/>
      <c r="AB980" s="91"/>
      <c r="AC980" s="37"/>
    </row>
    <row r="981" spans="1:29">
      <c r="A981" s="102"/>
      <c r="B981" s="103"/>
      <c r="C981" s="103"/>
      <c r="D981" s="104"/>
      <c r="E981" s="61"/>
      <c r="G981" s="60"/>
      <c r="H981" s="62"/>
      <c r="I981" s="63"/>
      <c r="J981" s="62"/>
      <c r="X981" s="91"/>
      <c r="Y981" s="91"/>
      <c r="Z981" s="91"/>
      <c r="AA981" s="91"/>
      <c r="AB981" s="91"/>
      <c r="AC981" s="37"/>
    </row>
    <row r="982" spans="1:29">
      <c r="A982" s="102"/>
      <c r="B982" s="103"/>
      <c r="C982" s="103"/>
      <c r="D982" s="104"/>
      <c r="E982" s="61"/>
      <c r="G982" s="60"/>
      <c r="H982" s="62"/>
      <c r="I982" s="63"/>
      <c r="J982" s="62"/>
      <c r="X982" s="91"/>
      <c r="Y982" s="91"/>
      <c r="Z982" s="91"/>
      <c r="AA982" s="91"/>
      <c r="AB982" s="91"/>
      <c r="AC982" s="37"/>
    </row>
    <row r="983" spans="1:29">
      <c r="A983" s="102"/>
      <c r="B983" s="103"/>
      <c r="C983" s="103"/>
      <c r="D983" s="104"/>
      <c r="E983" s="61"/>
      <c r="G983" s="60"/>
      <c r="H983" s="62"/>
      <c r="I983" s="63"/>
      <c r="J983" s="62"/>
      <c r="X983" s="91"/>
      <c r="Y983" s="91"/>
      <c r="Z983" s="91"/>
      <c r="AA983" s="91"/>
      <c r="AB983" s="91"/>
      <c r="AC983" s="37"/>
    </row>
    <row r="984" spans="1:29">
      <c r="A984" s="102"/>
      <c r="B984" s="103"/>
      <c r="C984" s="103"/>
      <c r="D984" s="104"/>
      <c r="E984" s="61"/>
      <c r="G984" s="60"/>
      <c r="H984" s="62"/>
      <c r="I984" s="63"/>
      <c r="J984" s="62"/>
      <c r="X984" s="91"/>
      <c r="Y984" s="91"/>
      <c r="Z984" s="91"/>
      <c r="AA984" s="91"/>
      <c r="AB984" s="91"/>
      <c r="AC984" s="37"/>
    </row>
    <row r="985" spans="1:29">
      <c r="A985" s="102"/>
      <c r="B985" s="103"/>
      <c r="C985" s="103"/>
      <c r="D985" s="104"/>
      <c r="E985" s="61"/>
      <c r="G985" s="60"/>
      <c r="H985" s="62"/>
      <c r="I985" s="63"/>
      <c r="J985" s="62"/>
      <c r="X985" s="91"/>
      <c r="Y985" s="91"/>
      <c r="Z985" s="91"/>
      <c r="AA985" s="91"/>
      <c r="AB985" s="91"/>
      <c r="AC985" s="37"/>
    </row>
    <row r="986" spans="1:29">
      <c r="A986" s="102"/>
      <c r="B986" s="103"/>
      <c r="C986" s="103"/>
      <c r="D986" s="104"/>
      <c r="E986" s="61"/>
      <c r="G986" s="60"/>
      <c r="H986" s="62"/>
      <c r="I986" s="63"/>
      <c r="J986" s="62"/>
      <c r="X986" s="91"/>
      <c r="Y986" s="91"/>
      <c r="Z986" s="91"/>
      <c r="AA986" s="91"/>
      <c r="AB986" s="91"/>
      <c r="AC986" s="37"/>
    </row>
    <row r="987" spans="1:29">
      <c r="A987" s="102"/>
      <c r="B987" s="103"/>
      <c r="C987" s="103"/>
      <c r="D987" s="104"/>
      <c r="E987" s="61"/>
      <c r="G987" s="60"/>
      <c r="H987" s="62"/>
      <c r="I987" s="63"/>
      <c r="J987" s="62"/>
      <c r="X987" s="91"/>
      <c r="Y987" s="91"/>
      <c r="Z987" s="91"/>
      <c r="AA987" s="91"/>
      <c r="AB987" s="91"/>
      <c r="AC987" s="37"/>
    </row>
    <row r="988" spans="1:29">
      <c r="A988" s="102"/>
      <c r="B988" s="103"/>
      <c r="C988" s="103"/>
      <c r="D988" s="104"/>
      <c r="E988" s="61"/>
      <c r="G988" s="60"/>
      <c r="H988" s="62"/>
      <c r="I988" s="63"/>
      <c r="J988" s="62"/>
      <c r="X988" s="91"/>
      <c r="Y988" s="91"/>
      <c r="Z988" s="91"/>
      <c r="AA988" s="91"/>
      <c r="AB988" s="91"/>
      <c r="AC988" s="37"/>
    </row>
    <row r="989" spans="1:29">
      <c r="A989" s="102"/>
      <c r="B989" s="103"/>
      <c r="C989" s="103"/>
      <c r="D989" s="104"/>
      <c r="E989" s="61"/>
      <c r="G989" s="60"/>
      <c r="H989" s="62"/>
      <c r="I989" s="63"/>
      <c r="J989" s="62"/>
      <c r="X989" s="91"/>
      <c r="Y989" s="91"/>
      <c r="Z989" s="91"/>
      <c r="AA989" s="91"/>
      <c r="AB989" s="91"/>
      <c r="AC989" s="37"/>
    </row>
    <row r="990" spans="1:29">
      <c r="A990" s="102"/>
      <c r="B990" s="103"/>
      <c r="C990" s="103"/>
      <c r="D990" s="104"/>
      <c r="E990" s="61"/>
      <c r="G990" s="60"/>
      <c r="H990" s="62"/>
      <c r="I990" s="63"/>
      <c r="J990" s="62"/>
      <c r="X990" s="91"/>
      <c r="Y990" s="91"/>
      <c r="Z990" s="91"/>
      <c r="AA990" s="91"/>
      <c r="AB990" s="91"/>
      <c r="AC990" s="37"/>
    </row>
    <row r="991" spans="1:29">
      <c r="A991" s="102"/>
      <c r="B991" s="103"/>
      <c r="C991" s="103"/>
      <c r="D991" s="104"/>
      <c r="E991" s="61"/>
      <c r="G991" s="60"/>
      <c r="H991" s="62"/>
      <c r="I991" s="63"/>
      <c r="J991" s="62"/>
      <c r="X991" s="91"/>
      <c r="Y991" s="91"/>
      <c r="Z991" s="91"/>
      <c r="AA991" s="91"/>
      <c r="AB991" s="91"/>
      <c r="AC991" s="37"/>
    </row>
    <row r="992" spans="1:29">
      <c r="A992" s="102"/>
      <c r="B992" s="103"/>
      <c r="C992" s="103"/>
      <c r="D992" s="104"/>
      <c r="E992" s="61"/>
      <c r="G992" s="60"/>
      <c r="H992" s="62"/>
      <c r="I992" s="63"/>
      <c r="J992" s="62"/>
      <c r="X992" s="91"/>
      <c r="Y992" s="91"/>
      <c r="Z992" s="91"/>
      <c r="AA992" s="91"/>
      <c r="AB992" s="91"/>
      <c r="AC992" s="37"/>
    </row>
    <row r="993" spans="1:29">
      <c r="A993" s="102"/>
      <c r="B993" s="103"/>
      <c r="C993" s="103"/>
      <c r="D993" s="104"/>
      <c r="E993" s="61"/>
      <c r="G993" s="60"/>
      <c r="H993" s="62"/>
      <c r="I993" s="63"/>
      <c r="J993" s="62"/>
      <c r="X993" s="91"/>
      <c r="Y993" s="91"/>
      <c r="Z993" s="91"/>
      <c r="AA993" s="91"/>
      <c r="AB993" s="91"/>
      <c r="AC993" s="37"/>
    </row>
    <row r="994" spans="1:29">
      <c r="A994" s="102"/>
      <c r="B994" s="103"/>
      <c r="C994" s="103"/>
      <c r="D994" s="104"/>
      <c r="E994" s="61"/>
      <c r="G994" s="60"/>
      <c r="H994" s="62"/>
      <c r="I994" s="63"/>
      <c r="J994" s="62"/>
      <c r="X994" s="91"/>
      <c r="Y994" s="91"/>
      <c r="Z994" s="91"/>
      <c r="AA994" s="91"/>
      <c r="AB994" s="91"/>
      <c r="AC994" s="37"/>
    </row>
    <row r="995" spans="1:29">
      <c r="A995" s="102"/>
      <c r="B995" s="103"/>
      <c r="C995" s="103"/>
      <c r="D995" s="104"/>
      <c r="E995" s="61"/>
      <c r="G995" s="60"/>
      <c r="H995" s="62"/>
      <c r="I995" s="63"/>
      <c r="J995" s="62"/>
      <c r="X995" s="91"/>
      <c r="Y995" s="91"/>
      <c r="Z995" s="91"/>
      <c r="AA995" s="91"/>
      <c r="AB995" s="91"/>
      <c r="AC995" s="37"/>
    </row>
    <row r="996" spans="1:29">
      <c r="A996" s="102"/>
      <c r="B996" s="103"/>
      <c r="C996" s="103"/>
      <c r="D996" s="104"/>
      <c r="E996" s="61"/>
      <c r="G996" s="60"/>
      <c r="H996" s="62"/>
      <c r="I996" s="63"/>
      <c r="J996" s="62"/>
      <c r="X996" s="91"/>
      <c r="Y996" s="91"/>
      <c r="Z996" s="91"/>
      <c r="AA996" s="91"/>
      <c r="AB996" s="91"/>
      <c r="AC996" s="37"/>
    </row>
    <row r="997" spans="1:29">
      <c r="A997" s="102"/>
      <c r="B997" s="103"/>
      <c r="C997" s="103"/>
      <c r="D997" s="104"/>
      <c r="E997" s="61"/>
      <c r="G997" s="60"/>
      <c r="H997" s="62"/>
      <c r="I997" s="63"/>
      <c r="J997" s="62"/>
      <c r="X997" s="91"/>
      <c r="Y997" s="91"/>
      <c r="Z997" s="91"/>
      <c r="AA997" s="91"/>
      <c r="AB997" s="91"/>
      <c r="AC997" s="37"/>
    </row>
    <row r="998" spans="1:29">
      <c r="A998" s="102"/>
      <c r="B998" s="103"/>
      <c r="C998" s="103"/>
      <c r="D998" s="104"/>
      <c r="E998" s="61"/>
      <c r="G998" s="60"/>
      <c r="H998" s="62"/>
      <c r="I998" s="63"/>
      <c r="J998" s="62"/>
      <c r="X998" s="91"/>
      <c r="Y998" s="91"/>
      <c r="Z998" s="91"/>
      <c r="AA998" s="91"/>
      <c r="AB998" s="91"/>
      <c r="AC998" s="37"/>
    </row>
    <row r="999" spans="1:29">
      <c r="A999" s="102"/>
      <c r="B999" s="103"/>
      <c r="C999" s="103"/>
      <c r="D999" s="104"/>
      <c r="E999" s="61"/>
      <c r="G999" s="60"/>
      <c r="H999" s="62"/>
      <c r="I999" s="63"/>
      <c r="J999" s="62"/>
      <c r="X999" s="91"/>
      <c r="Y999" s="91"/>
      <c r="Z999" s="91"/>
      <c r="AA999" s="91"/>
      <c r="AB999" s="91"/>
      <c r="AC999" s="37"/>
    </row>
    <row r="1000" spans="1:29">
      <c r="A1000" s="102"/>
      <c r="B1000" s="103"/>
      <c r="C1000" s="103"/>
      <c r="D1000" s="104"/>
      <c r="E1000" s="61"/>
      <c r="G1000" s="60"/>
      <c r="H1000" s="62"/>
      <c r="I1000" s="63"/>
      <c r="J1000" s="62"/>
      <c r="X1000" s="91"/>
      <c r="Y1000" s="91"/>
      <c r="Z1000" s="91"/>
      <c r="AA1000" s="91"/>
      <c r="AB1000" s="91"/>
      <c r="AC1000" s="37"/>
    </row>
    <row r="1001" spans="1:29">
      <c r="A1001" s="102"/>
      <c r="B1001" s="103"/>
      <c r="C1001" s="103"/>
      <c r="D1001" s="104"/>
      <c r="E1001" s="61"/>
      <c r="G1001" s="60"/>
      <c r="H1001" s="62"/>
      <c r="I1001" s="63"/>
      <c r="J1001" s="62"/>
      <c r="X1001" s="91"/>
      <c r="Y1001" s="91"/>
      <c r="Z1001" s="91"/>
      <c r="AA1001" s="91"/>
      <c r="AB1001" s="91"/>
      <c r="AC1001" s="37"/>
    </row>
    <row r="1002" spans="1:29">
      <c r="A1002" s="102"/>
      <c r="B1002" s="103"/>
      <c r="C1002" s="103"/>
      <c r="D1002" s="104"/>
      <c r="E1002" s="61"/>
      <c r="G1002" s="60"/>
      <c r="H1002" s="62"/>
      <c r="I1002" s="63"/>
      <c r="J1002" s="62"/>
      <c r="X1002" s="91"/>
      <c r="Y1002" s="91"/>
      <c r="Z1002" s="91"/>
      <c r="AA1002" s="91"/>
      <c r="AB1002" s="91"/>
      <c r="AC1002" s="37"/>
    </row>
    <row r="1003" spans="1:29">
      <c r="A1003" s="102"/>
      <c r="B1003" s="103"/>
      <c r="C1003" s="103"/>
      <c r="D1003" s="104"/>
      <c r="E1003" s="61"/>
      <c r="G1003" s="60"/>
      <c r="H1003" s="62"/>
      <c r="I1003" s="63"/>
      <c r="J1003" s="62"/>
      <c r="X1003" s="91"/>
      <c r="Y1003" s="91"/>
      <c r="Z1003" s="91"/>
      <c r="AA1003" s="91"/>
      <c r="AB1003" s="91"/>
      <c r="AC1003" s="37"/>
    </row>
    <row r="1004" spans="1:29">
      <c r="A1004" s="102"/>
      <c r="B1004" s="103"/>
      <c r="C1004" s="103"/>
      <c r="D1004" s="104"/>
      <c r="E1004" s="61"/>
      <c r="G1004" s="60"/>
      <c r="H1004" s="62"/>
      <c r="I1004" s="63"/>
      <c r="J1004" s="62"/>
      <c r="X1004" s="91"/>
      <c r="Y1004" s="91"/>
      <c r="Z1004" s="91"/>
      <c r="AA1004" s="91"/>
      <c r="AB1004" s="91"/>
      <c r="AC1004" s="37"/>
    </row>
    <row r="1005" spans="1:29">
      <c r="A1005" s="102"/>
      <c r="B1005" s="103"/>
      <c r="C1005" s="103"/>
      <c r="D1005" s="104"/>
      <c r="E1005" s="61"/>
      <c r="G1005" s="60"/>
      <c r="H1005" s="62"/>
      <c r="I1005" s="63"/>
      <c r="J1005" s="62"/>
      <c r="X1005" s="91"/>
      <c r="Y1005" s="91"/>
      <c r="Z1005" s="91"/>
      <c r="AA1005" s="91"/>
      <c r="AB1005" s="91"/>
      <c r="AC1005" s="37"/>
    </row>
    <row r="1006" spans="1:29">
      <c r="A1006" s="102"/>
      <c r="B1006" s="103"/>
      <c r="C1006" s="103"/>
      <c r="D1006" s="104"/>
      <c r="E1006" s="61"/>
      <c r="G1006" s="60"/>
      <c r="H1006" s="62"/>
      <c r="I1006" s="63"/>
      <c r="J1006" s="62"/>
      <c r="X1006" s="91"/>
      <c r="Y1006" s="91"/>
      <c r="Z1006" s="91"/>
      <c r="AA1006" s="91"/>
      <c r="AB1006" s="91"/>
      <c r="AC1006" s="37"/>
    </row>
    <row r="1007" spans="1:29">
      <c r="A1007" s="102"/>
      <c r="B1007" s="103"/>
      <c r="C1007" s="103"/>
      <c r="D1007" s="104"/>
      <c r="E1007" s="61"/>
      <c r="G1007" s="60"/>
      <c r="H1007" s="62"/>
      <c r="I1007" s="63"/>
      <c r="J1007" s="62"/>
      <c r="X1007" s="91"/>
      <c r="Y1007" s="91"/>
      <c r="Z1007" s="91"/>
      <c r="AA1007" s="91"/>
      <c r="AB1007" s="91"/>
      <c r="AC1007" s="37"/>
    </row>
    <row r="1008" spans="1:29">
      <c r="A1008" s="102"/>
      <c r="B1008" s="103"/>
      <c r="C1008" s="103"/>
      <c r="D1008" s="104"/>
      <c r="E1008" s="61"/>
      <c r="G1008" s="60"/>
      <c r="H1008" s="62"/>
      <c r="I1008" s="63"/>
      <c r="J1008" s="62"/>
      <c r="X1008" s="91"/>
      <c r="Y1008" s="91"/>
      <c r="Z1008" s="91"/>
      <c r="AA1008" s="91"/>
      <c r="AB1008" s="91"/>
      <c r="AC1008" s="37"/>
    </row>
    <row r="1009" spans="1:29">
      <c r="A1009" s="102"/>
      <c r="B1009" s="103"/>
      <c r="C1009" s="103"/>
      <c r="D1009" s="104"/>
      <c r="E1009" s="61"/>
      <c r="G1009" s="60"/>
      <c r="H1009" s="62"/>
      <c r="I1009" s="63"/>
      <c r="J1009" s="62"/>
      <c r="X1009" s="91"/>
      <c r="Y1009" s="91"/>
      <c r="Z1009" s="91"/>
      <c r="AA1009" s="91"/>
      <c r="AB1009" s="91"/>
      <c r="AC1009" s="37"/>
    </row>
    <row r="1010" spans="1:29">
      <c r="A1010" s="102"/>
      <c r="B1010" s="103"/>
      <c r="C1010" s="103"/>
      <c r="D1010" s="104"/>
      <c r="E1010" s="61"/>
      <c r="G1010" s="60"/>
      <c r="H1010" s="62"/>
      <c r="I1010" s="63"/>
      <c r="J1010" s="62"/>
      <c r="X1010" s="91"/>
      <c r="Y1010" s="91"/>
      <c r="Z1010" s="91"/>
      <c r="AA1010" s="91"/>
      <c r="AB1010" s="91"/>
      <c r="AC1010" s="37"/>
    </row>
    <row r="1011" spans="1:29">
      <c r="A1011" s="102"/>
      <c r="B1011" s="103"/>
      <c r="C1011" s="103"/>
      <c r="D1011" s="104"/>
      <c r="E1011" s="61"/>
      <c r="G1011" s="60"/>
      <c r="H1011" s="62"/>
      <c r="I1011" s="63"/>
      <c r="J1011" s="62"/>
      <c r="X1011" s="91"/>
      <c r="Y1011" s="91"/>
      <c r="Z1011" s="91"/>
      <c r="AA1011" s="91"/>
      <c r="AB1011" s="91"/>
      <c r="AC1011" s="37"/>
    </row>
    <row r="1012" spans="1:29">
      <c r="A1012" s="102"/>
      <c r="B1012" s="103"/>
      <c r="C1012" s="103"/>
      <c r="D1012" s="104"/>
      <c r="E1012" s="61"/>
      <c r="G1012" s="60"/>
      <c r="H1012" s="62"/>
      <c r="I1012" s="63"/>
      <c r="J1012" s="62"/>
      <c r="X1012" s="91"/>
      <c r="Y1012" s="91"/>
      <c r="Z1012" s="91"/>
      <c r="AA1012" s="91"/>
      <c r="AB1012" s="91"/>
      <c r="AC1012" s="37"/>
    </row>
    <row r="1013" spans="1:29">
      <c r="A1013" s="102"/>
      <c r="B1013" s="103"/>
      <c r="C1013" s="103"/>
      <c r="D1013" s="104"/>
      <c r="E1013" s="61"/>
      <c r="G1013" s="60"/>
      <c r="H1013" s="62"/>
      <c r="I1013" s="63"/>
      <c r="J1013" s="62"/>
      <c r="X1013" s="91"/>
      <c r="Y1013" s="91"/>
      <c r="Z1013" s="91"/>
      <c r="AA1013" s="91"/>
      <c r="AB1013" s="91"/>
      <c r="AC1013" s="37"/>
    </row>
    <row r="1014" spans="1:29">
      <c r="A1014" s="102"/>
      <c r="B1014" s="103"/>
      <c r="C1014" s="103"/>
      <c r="D1014" s="104"/>
      <c r="E1014" s="61"/>
      <c r="G1014" s="60"/>
      <c r="H1014" s="62"/>
      <c r="I1014" s="63"/>
      <c r="J1014" s="62"/>
      <c r="X1014" s="91"/>
      <c r="Y1014" s="91"/>
      <c r="Z1014" s="91"/>
      <c r="AA1014" s="91"/>
      <c r="AB1014" s="91"/>
      <c r="AC1014" s="37"/>
    </row>
    <row r="1015" spans="1:29">
      <c r="A1015" s="102"/>
      <c r="B1015" s="103"/>
      <c r="C1015" s="103"/>
      <c r="D1015" s="104"/>
      <c r="E1015" s="61"/>
      <c r="G1015" s="60"/>
      <c r="H1015" s="62"/>
      <c r="I1015" s="63"/>
      <c r="J1015" s="62"/>
      <c r="X1015" s="91"/>
      <c r="Y1015" s="91"/>
      <c r="Z1015" s="91"/>
      <c r="AA1015" s="91"/>
      <c r="AB1015" s="91"/>
      <c r="AC1015" s="37"/>
    </row>
    <row r="1016" spans="1:29">
      <c r="A1016" s="102"/>
      <c r="B1016" s="103"/>
      <c r="C1016" s="103"/>
      <c r="D1016" s="104"/>
      <c r="E1016" s="61"/>
      <c r="G1016" s="60"/>
      <c r="H1016" s="62"/>
      <c r="I1016" s="63"/>
      <c r="J1016" s="62"/>
      <c r="X1016" s="91"/>
      <c r="Y1016" s="91"/>
      <c r="Z1016" s="91"/>
      <c r="AA1016" s="91"/>
      <c r="AB1016" s="91"/>
      <c r="AC1016" s="37"/>
    </row>
    <row r="1017" spans="1:29">
      <c r="A1017" s="102"/>
      <c r="B1017" s="103"/>
      <c r="C1017" s="103"/>
      <c r="D1017" s="104"/>
      <c r="E1017" s="61"/>
      <c r="G1017" s="60"/>
      <c r="H1017" s="62"/>
      <c r="I1017" s="63"/>
      <c r="J1017" s="62"/>
      <c r="X1017" s="91"/>
      <c r="Y1017" s="91"/>
      <c r="Z1017" s="91"/>
      <c r="AA1017" s="91"/>
      <c r="AB1017" s="91"/>
      <c r="AC1017" s="37"/>
    </row>
    <row r="1018" spans="1:29">
      <c r="A1018" s="102"/>
      <c r="B1018" s="103"/>
      <c r="C1018" s="103"/>
      <c r="D1018" s="104"/>
      <c r="E1018" s="61"/>
      <c r="G1018" s="60"/>
      <c r="H1018" s="62"/>
      <c r="I1018" s="63"/>
      <c r="J1018" s="62"/>
      <c r="X1018" s="91"/>
      <c r="Y1018" s="91"/>
      <c r="Z1018" s="91"/>
      <c r="AA1018" s="91"/>
      <c r="AB1018" s="91"/>
      <c r="AC1018" s="37"/>
    </row>
    <row r="1019" spans="1:29">
      <c r="A1019" s="102"/>
      <c r="B1019" s="103"/>
      <c r="C1019" s="103"/>
      <c r="D1019" s="104"/>
      <c r="E1019" s="61"/>
      <c r="G1019" s="60"/>
      <c r="H1019" s="62"/>
      <c r="I1019" s="63"/>
      <c r="J1019" s="62"/>
      <c r="X1019" s="91"/>
      <c r="Y1019" s="91"/>
      <c r="Z1019" s="91"/>
      <c r="AA1019" s="91"/>
      <c r="AB1019" s="91"/>
      <c r="AC1019" s="37"/>
    </row>
    <row r="1020" spans="1:29">
      <c r="A1020" s="102"/>
      <c r="B1020" s="103"/>
      <c r="C1020" s="103"/>
      <c r="D1020" s="104"/>
      <c r="E1020" s="61"/>
      <c r="G1020" s="60"/>
      <c r="H1020" s="62"/>
      <c r="I1020" s="63"/>
      <c r="J1020" s="62"/>
      <c r="X1020" s="91"/>
      <c r="Y1020" s="91"/>
      <c r="Z1020" s="91"/>
      <c r="AA1020" s="91"/>
      <c r="AB1020" s="91"/>
      <c r="AC1020" s="37"/>
    </row>
    <row r="1021" spans="1:29">
      <c r="A1021" s="102"/>
      <c r="B1021" s="103"/>
      <c r="C1021" s="103"/>
      <c r="D1021" s="104"/>
      <c r="E1021" s="61"/>
      <c r="G1021" s="60"/>
      <c r="H1021" s="62"/>
      <c r="I1021" s="63"/>
      <c r="J1021" s="62"/>
      <c r="X1021" s="91"/>
      <c r="Y1021" s="91"/>
      <c r="Z1021" s="91"/>
      <c r="AA1021" s="91"/>
      <c r="AB1021" s="91"/>
      <c r="AC1021" s="37"/>
    </row>
    <row r="1022" spans="1:29">
      <c r="A1022" s="102"/>
      <c r="B1022" s="103"/>
      <c r="C1022" s="103"/>
      <c r="D1022" s="104"/>
      <c r="E1022" s="61"/>
      <c r="G1022" s="60"/>
      <c r="H1022" s="62"/>
      <c r="I1022" s="63"/>
      <c r="J1022" s="62"/>
      <c r="X1022" s="91"/>
      <c r="Y1022" s="91"/>
      <c r="Z1022" s="91"/>
      <c r="AA1022" s="91"/>
      <c r="AB1022" s="91"/>
      <c r="AC1022" s="37"/>
    </row>
    <row r="1023" spans="1:29">
      <c r="A1023" s="102"/>
      <c r="B1023" s="103"/>
      <c r="C1023" s="103"/>
      <c r="D1023" s="104"/>
      <c r="E1023" s="61"/>
      <c r="G1023" s="60"/>
      <c r="H1023" s="62"/>
      <c r="I1023" s="63"/>
      <c r="J1023" s="62"/>
      <c r="X1023" s="91"/>
      <c r="Y1023" s="91"/>
      <c r="Z1023" s="91"/>
      <c r="AA1023" s="91"/>
      <c r="AB1023" s="91"/>
      <c r="AC1023" s="37"/>
    </row>
    <row r="1024" spans="1:29">
      <c r="A1024" s="102"/>
      <c r="B1024" s="103"/>
      <c r="C1024" s="103"/>
      <c r="D1024" s="104"/>
      <c r="E1024" s="61"/>
      <c r="G1024" s="60"/>
      <c r="H1024" s="62"/>
      <c r="I1024" s="63"/>
      <c r="J1024" s="62"/>
      <c r="X1024" s="91"/>
      <c r="Y1024" s="91"/>
      <c r="Z1024" s="91"/>
      <c r="AA1024" s="91"/>
      <c r="AB1024" s="91"/>
      <c r="AC1024" s="37"/>
    </row>
    <row r="1025" spans="1:29">
      <c r="A1025" s="102"/>
      <c r="B1025" s="103"/>
      <c r="C1025" s="103"/>
      <c r="D1025" s="104"/>
      <c r="E1025" s="61"/>
      <c r="G1025" s="60"/>
      <c r="H1025" s="62"/>
      <c r="I1025" s="63"/>
      <c r="J1025" s="62"/>
      <c r="X1025" s="91"/>
      <c r="Y1025" s="91"/>
      <c r="Z1025" s="91"/>
      <c r="AA1025" s="91"/>
      <c r="AB1025" s="91"/>
      <c r="AC1025" s="37"/>
    </row>
    <row r="1026" spans="1:29">
      <c r="A1026" s="102"/>
      <c r="B1026" s="103"/>
      <c r="C1026" s="103"/>
      <c r="D1026" s="104"/>
      <c r="E1026" s="61"/>
      <c r="G1026" s="60"/>
      <c r="H1026" s="62"/>
      <c r="I1026" s="63"/>
      <c r="J1026" s="62"/>
      <c r="X1026" s="91"/>
      <c r="Y1026" s="91"/>
      <c r="Z1026" s="91"/>
      <c r="AA1026" s="91"/>
      <c r="AB1026" s="91"/>
      <c r="AC1026" s="37"/>
    </row>
    <row r="1027" spans="1:29">
      <c r="A1027" s="102"/>
      <c r="B1027" s="103"/>
      <c r="C1027" s="103"/>
      <c r="D1027" s="104"/>
      <c r="E1027" s="61"/>
      <c r="G1027" s="60"/>
      <c r="H1027" s="62"/>
      <c r="I1027" s="63"/>
      <c r="J1027" s="62"/>
      <c r="X1027" s="91"/>
      <c r="Y1027" s="91"/>
      <c r="Z1027" s="91"/>
      <c r="AA1027" s="91"/>
      <c r="AB1027" s="91"/>
      <c r="AC1027" s="37"/>
    </row>
    <row r="1028" spans="1:29">
      <c r="A1028" s="102"/>
      <c r="B1028" s="103"/>
      <c r="C1028" s="103"/>
      <c r="D1028" s="104"/>
      <c r="E1028" s="61"/>
      <c r="G1028" s="60"/>
      <c r="H1028" s="62"/>
      <c r="I1028" s="63"/>
      <c r="J1028" s="62"/>
      <c r="X1028" s="91"/>
      <c r="Y1028" s="91"/>
      <c r="Z1028" s="91"/>
      <c r="AA1028" s="91"/>
      <c r="AB1028" s="91"/>
      <c r="AC1028" s="37"/>
    </row>
    <row r="1029" spans="1:29">
      <c r="A1029" s="102"/>
      <c r="B1029" s="103"/>
      <c r="C1029" s="103"/>
      <c r="D1029" s="104"/>
      <c r="E1029" s="61"/>
      <c r="G1029" s="60"/>
      <c r="H1029" s="62"/>
      <c r="I1029" s="63"/>
      <c r="J1029" s="62"/>
      <c r="X1029" s="91"/>
      <c r="Y1029" s="91"/>
      <c r="Z1029" s="91"/>
      <c r="AA1029" s="91"/>
      <c r="AB1029" s="91"/>
      <c r="AC1029" s="37"/>
    </row>
    <row r="1030" spans="1:29">
      <c r="A1030" s="102"/>
      <c r="B1030" s="103"/>
      <c r="C1030" s="103"/>
      <c r="D1030" s="104"/>
      <c r="E1030" s="61"/>
      <c r="G1030" s="60"/>
      <c r="H1030" s="62"/>
      <c r="I1030" s="63"/>
      <c r="J1030" s="62"/>
      <c r="X1030" s="91"/>
      <c r="Y1030" s="91"/>
      <c r="Z1030" s="91"/>
      <c r="AA1030" s="91"/>
      <c r="AB1030" s="91"/>
      <c r="AC1030" s="37"/>
    </row>
    <row r="1031" spans="1:29">
      <c r="A1031" s="102"/>
      <c r="B1031" s="103"/>
      <c r="C1031" s="103"/>
      <c r="D1031" s="104"/>
      <c r="E1031" s="61"/>
      <c r="G1031" s="60"/>
      <c r="H1031" s="62"/>
      <c r="I1031" s="63"/>
      <c r="J1031" s="62"/>
      <c r="X1031" s="91"/>
      <c r="Y1031" s="91"/>
      <c r="Z1031" s="91"/>
      <c r="AA1031" s="91"/>
      <c r="AB1031" s="91"/>
      <c r="AC1031" s="37"/>
    </row>
    <row r="1032" spans="1:29">
      <c r="A1032" s="102"/>
      <c r="B1032" s="103"/>
      <c r="C1032" s="103"/>
      <c r="D1032" s="104"/>
      <c r="E1032" s="61"/>
      <c r="G1032" s="60"/>
      <c r="H1032" s="62"/>
      <c r="I1032" s="63"/>
      <c r="J1032" s="62"/>
      <c r="X1032" s="91"/>
      <c r="Y1032" s="91"/>
      <c r="Z1032" s="91"/>
      <c r="AA1032" s="91"/>
      <c r="AB1032" s="91"/>
      <c r="AC1032" s="37"/>
    </row>
    <row r="1033" spans="1:29">
      <c r="A1033" s="102"/>
      <c r="B1033" s="103"/>
      <c r="C1033" s="103"/>
      <c r="D1033" s="104"/>
      <c r="E1033" s="61"/>
      <c r="G1033" s="60"/>
      <c r="H1033" s="62"/>
      <c r="I1033" s="63"/>
      <c r="J1033" s="62"/>
      <c r="X1033" s="91"/>
      <c r="Y1033" s="91"/>
      <c r="Z1033" s="91"/>
      <c r="AA1033" s="91"/>
      <c r="AB1033" s="91"/>
      <c r="AC1033" s="37"/>
    </row>
    <row r="1034" spans="1:29">
      <c r="A1034" s="102"/>
      <c r="B1034" s="103"/>
      <c r="C1034" s="103"/>
      <c r="D1034" s="104"/>
      <c r="E1034" s="61"/>
      <c r="G1034" s="60"/>
      <c r="H1034" s="62"/>
      <c r="I1034" s="63"/>
      <c r="J1034" s="62"/>
      <c r="X1034" s="91"/>
      <c r="Y1034" s="91"/>
      <c r="Z1034" s="91"/>
      <c r="AA1034" s="91"/>
      <c r="AB1034" s="91"/>
      <c r="AC1034" s="37"/>
    </row>
    <row r="1035" spans="1:29">
      <c r="A1035" s="102"/>
      <c r="B1035" s="103"/>
      <c r="C1035" s="103"/>
      <c r="D1035" s="104"/>
      <c r="E1035" s="61"/>
      <c r="G1035" s="60"/>
      <c r="H1035" s="62"/>
      <c r="I1035" s="63"/>
      <c r="J1035" s="62"/>
      <c r="X1035" s="91"/>
      <c r="Y1035" s="91"/>
      <c r="Z1035" s="91"/>
      <c r="AA1035" s="91"/>
      <c r="AB1035" s="91"/>
      <c r="AC1035" s="37"/>
    </row>
    <row r="1036" spans="1:29">
      <c r="A1036" s="102"/>
      <c r="B1036" s="103"/>
      <c r="C1036" s="103"/>
      <c r="D1036" s="104"/>
      <c r="E1036" s="61"/>
      <c r="G1036" s="60"/>
      <c r="H1036" s="62"/>
      <c r="I1036" s="63"/>
      <c r="J1036" s="62"/>
      <c r="X1036" s="91"/>
      <c r="Y1036" s="91"/>
      <c r="Z1036" s="91"/>
      <c r="AA1036" s="91"/>
      <c r="AB1036" s="91"/>
      <c r="AC1036" s="37"/>
    </row>
    <row r="1037" spans="1:29">
      <c r="A1037" s="102"/>
      <c r="B1037" s="103"/>
      <c r="C1037" s="103"/>
      <c r="D1037" s="104"/>
      <c r="E1037" s="61"/>
      <c r="G1037" s="60"/>
      <c r="H1037" s="62"/>
      <c r="I1037" s="63"/>
      <c r="J1037" s="62"/>
      <c r="X1037" s="91"/>
      <c r="Y1037" s="91"/>
      <c r="Z1037" s="91"/>
      <c r="AA1037" s="91"/>
      <c r="AB1037" s="91"/>
      <c r="AC1037" s="37"/>
    </row>
    <row r="1038" spans="1:29">
      <c r="A1038" s="102"/>
      <c r="B1038" s="103"/>
      <c r="C1038" s="103"/>
      <c r="D1038" s="104"/>
      <c r="E1038" s="61"/>
      <c r="G1038" s="60"/>
      <c r="H1038" s="62"/>
      <c r="I1038" s="63"/>
      <c r="J1038" s="62"/>
      <c r="X1038" s="91"/>
      <c r="Y1038" s="91"/>
      <c r="Z1038" s="91"/>
      <c r="AA1038" s="91"/>
      <c r="AB1038" s="91"/>
      <c r="AC1038" s="37"/>
    </row>
    <row r="1039" spans="1:29">
      <c r="A1039" s="102"/>
      <c r="B1039" s="103"/>
      <c r="C1039" s="103"/>
      <c r="D1039" s="104"/>
      <c r="E1039" s="61"/>
      <c r="G1039" s="60"/>
      <c r="H1039" s="62"/>
      <c r="I1039" s="63"/>
      <c r="J1039" s="62"/>
      <c r="X1039" s="91"/>
      <c r="Y1039" s="91"/>
      <c r="Z1039" s="91"/>
      <c r="AA1039" s="91"/>
      <c r="AB1039" s="91"/>
      <c r="AC1039" s="37"/>
    </row>
    <row r="1040" spans="1:29">
      <c r="A1040" s="102"/>
      <c r="B1040" s="103"/>
      <c r="C1040" s="103"/>
      <c r="D1040" s="104"/>
      <c r="E1040" s="61"/>
      <c r="G1040" s="60"/>
      <c r="H1040" s="62"/>
      <c r="I1040" s="63"/>
      <c r="J1040" s="62"/>
      <c r="X1040" s="91"/>
      <c r="Y1040" s="91"/>
      <c r="Z1040" s="91"/>
      <c r="AA1040" s="91"/>
      <c r="AB1040" s="91"/>
      <c r="AC1040" s="37"/>
    </row>
    <row r="1041" spans="1:29">
      <c r="A1041" s="102"/>
      <c r="B1041" s="103"/>
      <c r="C1041" s="103"/>
      <c r="D1041" s="104"/>
      <c r="E1041" s="61"/>
      <c r="G1041" s="60"/>
      <c r="H1041" s="62"/>
      <c r="I1041" s="63"/>
      <c r="J1041" s="62"/>
      <c r="X1041" s="91"/>
      <c r="Y1041" s="91"/>
      <c r="Z1041" s="91"/>
      <c r="AA1041" s="91"/>
      <c r="AB1041" s="91"/>
      <c r="AC1041" s="37"/>
    </row>
    <row r="1042" spans="1:29">
      <c r="A1042" s="102"/>
      <c r="B1042" s="103"/>
      <c r="C1042" s="103"/>
      <c r="D1042" s="104"/>
      <c r="E1042" s="61"/>
      <c r="G1042" s="60"/>
      <c r="H1042" s="62"/>
      <c r="I1042" s="63"/>
      <c r="J1042" s="62"/>
      <c r="X1042" s="91"/>
      <c r="Y1042" s="91"/>
      <c r="Z1042" s="91"/>
      <c r="AA1042" s="91"/>
      <c r="AB1042" s="91"/>
      <c r="AC1042" s="37"/>
    </row>
    <row r="1043" spans="1:29">
      <c r="A1043" s="102"/>
      <c r="B1043" s="103"/>
      <c r="C1043" s="103"/>
      <c r="D1043" s="104"/>
      <c r="E1043" s="61"/>
      <c r="G1043" s="60"/>
      <c r="H1043" s="62"/>
      <c r="I1043" s="63"/>
      <c r="J1043" s="62"/>
      <c r="X1043" s="91"/>
      <c r="Y1043" s="91"/>
      <c r="Z1043" s="91"/>
      <c r="AA1043" s="91"/>
      <c r="AB1043" s="91"/>
      <c r="AC1043" s="37"/>
    </row>
    <row r="1044" spans="1:29">
      <c r="A1044" s="102"/>
      <c r="B1044" s="103"/>
      <c r="C1044" s="103"/>
      <c r="D1044" s="104"/>
      <c r="E1044" s="61"/>
      <c r="G1044" s="60"/>
      <c r="H1044" s="62"/>
      <c r="I1044" s="63"/>
      <c r="J1044" s="62"/>
      <c r="X1044" s="91"/>
      <c r="Y1044" s="91"/>
      <c r="Z1044" s="91"/>
      <c r="AA1044" s="91"/>
      <c r="AB1044" s="91"/>
      <c r="AC1044" s="37"/>
    </row>
    <row r="1045" spans="1:29">
      <c r="A1045" s="102"/>
      <c r="B1045" s="103"/>
      <c r="C1045" s="103"/>
      <c r="D1045" s="104"/>
      <c r="E1045" s="61"/>
      <c r="G1045" s="60"/>
      <c r="H1045" s="62"/>
      <c r="I1045" s="63"/>
      <c r="J1045" s="62"/>
      <c r="X1045" s="91"/>
      <c r="Y1045" s="91"/>
      <c r="Z1045" s="91"/>
      <c r="AA1045" s="91"/>
      <c r="AB1045" s="91"/>
      <c r="AC1045" s="37"/>
    </row>
    <row r="1046" spans="1:29">
      <c r="A1046" s="102"/>
      <c r="B1046" s="103"/>
      <c r="C1046" s="103"/>
      <c r="D1046" s="104"/>
      <c r="E1046" s="61"/>
      <c r="G1046" s="60"/>
      <c r="H1046" s="62"/>
      <c r="I1046" s="63"/>
      <c r="J1046" s="62"/>
      <c r="X1046" s="91"/>
      <c r="Y1046" s="91"/>
      <c r="Z1046" s="91"/>
      <c r="AA1046" s="91"/>
      <c r="AB1046" s="91"/>
      <c r="AC1046" s="37"/>
    </row>
    <row r="1047" spans="1:29">
      <c r="A1047" s="102"/>
      <c r="B1047" s="103"/>
      <c r="C1047" s="103"/>
      <c r="D1047" s="104"/>
      <c r="E1047" s="61"/>
      <c r="G1047" s="60"/>
      <c r="H1047" s="62"/>
      <c r="I1047" s="63"/>
      <c r="J1047" s="62"/>
      <c r="X1047" s="91"/>
      <c r="Y1047" s="91"/>
      <c r="Z1047" s="91"/>
      <c r="AA1047" s="91"/>
      <c r="AB1047" s="91"/>
      <c r="AC1047" s="37"/>
    </row>
    <row r="1048" spans="1:29">
      <c r="A1048" s="102"/>
      <c r="B1048" s="103"/>
      <c r="C1048" s="103"/>
      <c r="D1048" s="104"/>
      <c r="E1048" s="61"/>
      <c r="G1048" s="60"/>
      <c r="H1048" s="62"/>
      <c r="I1048" s="63"/>
      <c r="J1048" s="62"/>
      <c r="X1048" s="91"/>
      <c r="Y1048" s="91"/>
      <c r="Z1048" s="91"/>
      <c r="AA1048" s="91"/>
      <c r="AB1048" s="91"/>
      <c r="AC1048" s="37"/>
    </row>
    <row r="1049" spans="1:29">
      <c r="A1049" s="102"/>
      <c r="B1049" s="103"/>
      <c r="C1049" s="103"/>
      <c r="D1049" s="104"/>
      <c r="E1049" s="61"/>
      <c r="G1049" s="60"/>
      <c r="H1049" s="62"/>
      <c r="I1049" s="63"/>
      <c r="J1049" s="62"/>
      <c r="X1049" s="91"/>
      <c r="Y1049" s="91"/>
      <c r="Z1049" s="91"/>
      <c r="AA1049" s="91"/>
      <c r="AB1049" s="91"/>
      <c r="AC1049" s="37"/>
    </row>
    <row r="1050" spans="1:29">
      <c r="A1050" s="102"/>
      <c r="B1050" s="103"/>
      <c r="C1050" s="103"/>
      <c r="D1050" s="104"/>
      <c r="E1050" s="61"/>
      <c r="G1050" s="60"/>
      <c r="H1050" s="62"/>
      <c r="I1050" s="63"/>
      <c r="J1050" s="62"/>
      <c r="X1050" s="91"/>
      <c r="Y1050" s="91"/>
      <c r="Z1050" s="91"/>
      <c r="AA1050" s="91"/>
      <c r="AB1050" s="91"/>
      <c r="AC1050" s="37"/>
    </row>
    <row r="1051" spans="1:29">
      <c r="A1051" s="102"/>
      <c r="B1051" s="103"/>
      <c r="C1051" s="103"/>
      <c r="D1051" s="104"/>
      <c r="E1051" s="61"/>
      <c r="G1051" s="60"/>
      <c r="H1051" s="62"/>
      <c r="I1051" s="63"/>
      <c r="J1051" s="62"/>
      <c r="X1051" s="91"/>
      <c r="Y1051" s="91"/>
      <c r="Z1051" s="91"/>
      <c r="AA1051" s="91"/>
      <c r="AB1051" s="91"/>
      <c r="AC1051" s="37"/>
    </row>
    <row r="1052" spans="1:29">
      <c r="A1052" s="102"/>
      <c r="B1052" s="103"/>
      <c r="C1052" s="103"/>
      <c r="D1052" s="104"/>
      <c r="E1052" s="61"/>
      <c r="G1052" s="60"/>
      <c r="H1052" s="62"/>
      <c r="I1052" s="63"/>
      <c r="J1052" s="62"/>
      <c r="X1052" s="91"/>
      <c r="Y1052" s="91"/>
      <c r="Z1052" s="91"/>
      <c r="AA1052" s="91"/>
      <c r="AB1052" s="91"/>
      <c r="AC1052" s="37"/>
    </row>
    <row r="1053" spans="1:29">
      <c r="A1053" s="102"/>
      <c r="B1053" s="103"/>
      <c r="C1053" s="103"/>
      <c r="D1053" s="104"/>
      <c r="E1053" s="61"/>
      <c r="G1053" s="60"/>
      <c r="H1053" s="62"/>
      <c r="I1053" s="63"/>
      <c r="J1053" s="62"/>
      <c r="X1053" s="91"/>
      <c r="Y1053" s="91"/>
      <c r="Z1053" s="91"/>
      <c r="AA1053" s="91"/>
      <c r="AB1053" s="91"/>
      <c r="AC1053" s="37"/>
    </row>
    <row r="1054" spans="1:29">
      <c r="A1054" s="102"/>
      <c r="B1054" s="103"/>
      <c r="C1054" s="103"/>
      <c r="D1054" s="104"/>
      <c r="E1054" s="61"/>
      <c r="G1054" s="60"/>
      <c r="H1054" s="62"/>
      <c r="I1054" s="63"/>
      <c r="J1054" s="62"/>
      <c r="X1054" s="91"/>
      <c r="Y1054" s="91"/>
      <c r="Z1054" s="91"/>
      <c r="AA1054" s="91"/>
      <c r="AB1054" s="91"/>
      <c r="AC1054" s="37"/>
    </row>
    <row r="1055" spans="1:29">
      <c r="A1055" s="102"/>
      <c r="B1055" s="103"/>
      <c r="C1055" s="103"/>
      <c r="D1055" s="104"/>
      <c r="E1055" s="61"/>
      <c r="G1055" s="60"/>
      <c r="H1055" s="62"/>
      <c r="I1055" s="63"/>
      <c r="J1055" s="62"/>
      <c r="X1055" s="91"/>
      <c r="Y1055" s="91"/>
      <c r="Z1055" s="91"/>
      <c r="AA1055" s="91"/>
      <c r="AB1055" s="91"/>
      <c r="AC1055" s="37"/>
    </row>
    <row r="1056" spans="1:29">
      <c r="A1056" s="102"/>
      <c r="B1056" s="103"/>
      <c r="C1056" s="103"/>
      <c r="D1056" s="104"/>
      <c r="E1056" s="61"/>
      <c r="G1056" s="60"/>
      <c r="H1056" s="62"/>
      <c r="I1056" s="63"/>
      <c r="J1056" s="62"/>
      <c r="X1056" s="91"/>
      <c r="Y1056" s="91"/>
      <c r="Z1056" s="91"/>
      <c r="AA1056" s="91"/>
      <c r="AB1056" s="91"/>
      <c r="AC1056" s="37"/>
    </row>
    <row r="1057" spans="1:29">
      <c r="A1057" s="102"/>
      <c r="B1057" s="103"/>
      <c r="C1057" s="103"/>
      <c r="D1057" s="104"/>
      <c r="E1057" s="61"/>
      <c r="G1057" s="60"/>
      <c r="H1057" s="62"/>
      <c r="I1057" s="63"/>
      <c r="J1057" s="62"/>
      <c r="X1057" s="91"/>
      <c r="Y1057" s="91"/>
      <c r="Z1057" s="91"/>
      <c r="AA1057" s="91"/>
      <c r="AB1057" s="91"/>
      <c r="AC1057" s="37"/>
    </row>
    <row r="1058" spans="1:29">
      <c r="A1058" s="102"/>
      <c r="B1058" s="103"/>
      <c r="C1058" s="103"/>
      <c r="D1058" s="104"/>
      <c r="E1058" s="61"/>
      <c r="G1058" s="60"/>
      <c r="H1058" s="62"/>
      <c r="I1058" s="63"/>
      <c r="J1058" s="62"/>
      <c r="X1058" s="91"/>
      <c r="Y1058" s="91"/>
      <c r="Z1058" s="91"/>
      <c r="AA1058" s="91"/>
      <c r="AB1058" s="91"/>
      <c r="AC1058" s="37"/>
    </row>
    <row r="1059" spans="1:29">
      <c r="A1059" s="102"/>
      <c r="B1059" s="103"/>
      <c r="C1059" s="103"/>
      <c r="D1059" s="104"/>
      <c r="E1059" s="61"/>
      <c r="G1059" s="60"/>
      <c r="H1059" s="62"/>
      <c r="I1059" s="63"/>
      <c r="J1059" s="62"/>
      <c r="X1059" s="91"/>
      <c r="Y1059" s="91"/>
      <c r="Z1059" s="91"/>
      <c r="AA1059" s="91"/>
      <c r="AB1059" s="91"/>
      <c r="AC1059" s="37"/>
    </row>
    <row r="1060" spans="1:29">
      <c r="A1060" s="102"/>
      <c r="B1060" s="103"/>
      <c r="C1060" s="103"/>
      <c r="D1060" s="104"/>
      <c r="E1060" s="61"/>
      <c r="G1060" s="60"/>
      <c r="H1060" s="62"/>
      <c r="I1060" s="63"/>
      <c r="J1060" s="62"/>
      <c r="X1060" s="91"/>
      <c r="Y1060" s="91"/>
      <c r="Z1060" s="91"/>
      <c r="AA1060" s="91"/>
      <c r="AB1060" s="91"/>
      <c r="AC1060" s="37"/>
    </row>
    <row r="1061" spans="1:29">
      <c r="A1061" s="102"/>
      <c r="B1061" s="103"/>
      <c r="C1061" s="103"/>
      <c r="D1061" s="104"/>
      <c r="E1061" s="61"/>
      <c r="G1061" s="60"/>
      <c r="H1061" s="62"/>
      <c r="I1061" s="63"/>
      <c r="J1061" s="62"/>
      <c r="X1061" s="91"/>
      <c r="Y1061" s="91"/>
      <c r="Z1061" s="91"/>
      <c r="AA1061" s="91"/>
      <c r="AB1061" s="91"/>
      <c r="AC1061" s="37"/>
    </row>
    <row r="1062" spans="1:29">
      <c r="A1062" s="102"/>
      <c r="B1062" s="103"/>
      <c r="C1062" s="103"/>
      <c r="D1062" s="104"/>
      <c r="E1062" s="61"/>
      <c r="G1062" s="60"/>
      <c r="H1062" s="62"/>
      <c r="I1062" s="63"/>
      <c r="J1062" s="62"/>
      <c r="X1062" s="91"/>
      <c r="Y1062" s="91"/>
      <c r="Z1062" s="91"/>
      <c r="AA1062" s="91"/>
      <c r="AB1062" s="91"/>
      <c r="AC1062" s="37"/>
    </row>
    <row r="1063" spans="1:29">
      <c r="A1063" s="102"/>
      <c r="B1063" s="103"/>
      <c r="C1063" s="103"/>
      <c r="D1063" s="104"/>
      <c r="E1063" s="61"/>
      <c r="G1063" s="60"/>
      <c r="H1063" s="62"/>
      <c r="I1063" s="63"/>
      <c r="J1063" s="62"/>
      <c r="X1063" s="91"/>
      <c r="Y1063" s="91"/>
      <c r="Z1063" s="91"/>
      <c r="AA1063" s="91"/>
      <c r="AB1063" s="91"/>
      <c r="AC1063" s="37"/>
    </row>
    <row r="1064" spans="1:29">
      <c r="A1064" s="102"/>
      <c r="B1064" s="103"/>
      <c r="C1064" s="103"/>
      <c r="D1064" s="104"/>
      <c r="E1064" s="61"/>
      <c r="G1064" s="60"/>
      <c r="H1064" s="62"/>
      <c r="I1064" s="63"/>
      <c r="J1064" s="62"/>
      <c r="X1064" s="91"/>
      <c r="Y1064" s="91"/>
      <c r="Z1064" s="91"/>
      <c r="AA1064" s="91"/>
      <c r="AB1064" s="91"/>
      <c r="AC1064" s="37"/>
    </row>
    <row r="1065" spans="1:29">
      <c r="A1065" s="102"/>
      <c r="B1065" s="103"/>
      <c r="C1065" s="103"/>
      <c r="D1065" s="104"/>
      <c r="E1065" s="61"/>
      <c r="G1065" s="60"/>
      <c r="H1065" s="62"/>
      <c r="I1065" s="63"/>
      <c r="J1065" s="62"/>
      <c r="X1065" s="91"/>
      <c r="Y1065" s="91"/>
      <c r="Z1065" s="91"/>
      <c r="AA1065" s="91"/>
      <c r="AB1065" s="91"/>
      <c r="AC1065" s="37"/>
    </row>
    <row r="1066" spans="1:29">
      <c r="A1066" s="102"/>
      <c r="B1066" s="103"/>
      <c r="C1066" s="103"/>
      <c r="D1066" s="104"/>
      <c r="E1066" s="61"/>
      <c r="G1066" s="60"/>
      <c r="H1066" s="62"/>
      <c r="I1066" s="63"/>
      <c r="J1066" s="62"/>
      <c r="X1066" s="91"/>
      <c r="Y1066" s="91"/>
      <c r="Z1066" s="91"/>
      <c r="AA1066" s="91"/>
      <c r="AB1066" s="91"/>
      <c r="AC1066" s="37"/>
    </row>
    <row r="1067" spans="1:29">
      <c r="A1067" s="102"/>
      <c r="B1067" s="103"/>
      <c r="C1067" s="103"/>
      <c r="D1067" s="104"/>
      <c r="E1067" s="61"/>
      <c r="G1067" s="60"/>
      <c r="H1067" s="62"/>
      <c r="I1067" s="63"/>
      <c r="J1067" s="62"/>
      <c r="X1067" s="91"/>
      <c r="Y1067" s="91"/>
      <c r="Z1067" s="91"/>
      <c r="AA1067" s="91"/>
      <c r="AB1067" s="91"/>
      <c r="AC1067" s="37"/>
    </row>
    <row r="1068" spans="1:29">
      <c r="A1068" s="102"/>
      <c r="B1068" s="103"/>
      <c r="C1068" s="103"/>
      <c r="D1068" s="104"/>
      <c r="E1068" s="61"/>
      <c r="G1068" s="60"/>
      <c r="H1068" s="62"/>
      <c r="I1068" s="63"/>
      <c r="J1068" s="62"/>
      <c r="X1068" s="91"/>
      <c r="Y1068" s="91"/>
      <c r="Z1068" s="91"/>
      <c r="AA1068" s="91"/>
      <c r="AB1068" s="91"/>
      <c r="AC1068" s="37"/>
    </row>
    <row r="1069" spans="1:29">
      <c r="A1069" s="102"/>
      <c r="B1069" s="103"/>
      <c r="C1069" s="103"/>
      <c r="D1069" s="104"/>
      <c r="E1069" s="61"/>
      <c r="G1069" s="60"/>
      <c r="H1069" s="62"/>
      <c r="I1069" s="63"/>
      <c r="J1069" s="62"/>
      <c r="X1069" s="91"/>
      <c r="Y1069" s="91"/>
      <c r="Z1069" s="91"/>
      <c r="AA1069" s="91"/>
      <c r="AB1069" s="91"/>
      <c r="AC1069" s="37"/>
    </row>
    <row r="1070" spans="1:29">
      <c r="A1070" s="102"/>
      <c r="B1070" s="103"/>
      <c r="C1070" s="103"/>
      <c r="D1070" s="104"/>
      <c r="E1070" s="61"/>
      <c r="G1070" s="60"/>
      <c r="H1070" s="62"/>
      <c r="I1070" s="63"/>
      <c r="J1070" s="62"/>
      <c r="X1070" s="91"/>
      <c r="Y1070" s="91"/>
      <c r="Z1070" s="91"/>
      <c r="AA1070" s="91"/>
      <c r="AB1070" s="91"/>
      <c r="AC1070" s="37"/>
    </row>
    <row r="1071" spans="1:29">
      <c r="A1071" s="102"/>
      <c r="B1071" s="103"/>
      <c r="C1071" s="103"/>
      <c r="D1071" s="104"/>
      <c r="E1071" s="61"/>
      <c r="G1071" s="60"/>
      <c r="H1071" s="62"/>
      <c r="I1071" s="63"/>
      <c r="J1071" s="62"/>
      <c r="X1071" s="91"/>
      <c r="Y1071" s="91"/>
      <c r="Z1071" s="91"/>
      <c r="AA1071" s="91"/>
      <c r="AB1071" s="91"/>
      <c r="AC1071" s="37"/>
    </row>
    <row r="1072" spans="1:29">
      <c r="A1072" s="102"/>
      <c r="B1072" s="103"/>
      <c r="C1072" s="103"/>
      <c r="D1072" s="104"/>
      <c r="E1072" s="61"/>
      <c r="G1072" s="60"/>
      <c r="H1072" s="62"/>
      <c r="I1072" s="63"/>
      <c r="J1072" s="62"/>
      <c r="X1072" s="91"/>
      <c r="Y1072" s="91"/>
      <c r="Z1072" s="91"/>
      <c r="AA1072" s="91"/>
      <c r="AB1072" s="91"/>
      <c r="AC1072" s="37"/>
    </row>
    <row r="1073" spans="1:29">
      <c r="A1073" s="102"/>
      <c r="B1073" s="103"/>
      <c r="C1073" s="103"/>
      <c r="D1073" s="104"/>
      <c r="E1073" s="61"/>
      <c r="G1073" s="60"/>
      <c r="H1073" s="62"/>
      <c r="I1073" s="63"/>
      <c r="J1073" s="62"/>
      <c r="X1073" s="91"/>
      <c r="Y1073" s="91"/>
      <c r="Z1073" s="91"/>
      <c r="AA1073" s="91"/>
      <c r="AB1073" s="91"/>
      <c r="AC1073" s="37"/>
    </row>
    <row r="1074" spans="1:29">
      <c r="A1074" s="102"/>
      <c r="B1074" s="103"/>
      <c r="C1074" s="103"/>
      <c r="D1074" s="104"/>
      <c r="E1074" s="61"/>
      <c r="G1074" s="60"/>
      <c r="H1074" s="62"/>
      <c r="I1074" s="63"/>
      <c r="J1074" s="62"/>
      <c r="X1074" s="91"/>
      <c r="Y1074" s="91"/>
      <c r="Z1074" s="91"/>
      <c r="AA1074" s="91"/>
      <c r="AB1074" s="91"/>
      <c r="AC1074" s="37"/>
    </row>
    <row r="1075" spans="1:29">
      <c r="A1075" s="102"/>
      <c r="B1075" s="103"/>
      <c r="C1075" s="103"/>
      <c r="D1075" s="104"/>
      <c r="E1075" s="61"/>
      <c r="G1075" s="60"/>
      <c r="H1075" s="62"/>
      <c r="I1075" s="63"/>
      <c r="J1075" s="62"/>
      <c r="X1075" s="91"/>
      <c r="Y1075" s="91"/>
      <c r="Z1075" s="91"/>
      <c r="AA1075" s="91"/>
      <c r="AB1075" s="91"/>
      <c r="AC1075" s="37"/>
    </row>
    <row r="1076" spans="1:29">
      <c r="A1076" s="102"/>
      <c r="B1076" s="103"/>
      <c r="C1076" s="103"/>
      <c r="D1076" s="104"/>
      <c r="E1076" s="61"/>
      <c r="G1076" s="60"/>
      <c r="H1076" s="62"/>
      <c r="I1076" s="63"/>
      <c r="J1076" s="62"/>
      <c r="X1076" s="91"/>
      <c r="Y1076" s="91"/>
      <c r="Z1076" s="91"/>
      <c r="AA1076" s="91"/>
      <c r="AB1076" s="91"/>
      <c r="AC1076" s="37"/>
    </row>
    <row r="1077" spans="1:29">
      <c r="A1077" s="102"/>
      <c r="B1077" s="103"/>
      <c r="C1077" s="103"/>
      <c r="D1077" s="104"/>
      <c r="E1077" s="61"/>
      <c r="G1077" s="60"/>
      <c r="H1077" s="62"/>
      <c r="I1077" s="63"/>
      <c r="J1077" s="62"/>
      <c r="X1077" s="91"/>
      <c r="Y1077" s="91"/>
      <c r="Z1077" s="91"/>
      <c r="AA1077" s="91"/>
      <c r="AB1077" s="91"/>
      <c r="AC1077" s="37"/>
    </row>
    <row r="1078" spans="1:29">
      <c r="A1078" s="102"/>
      <c r="B1078" s="103"/>
      <c r="C1078" s="103"/>
      <c r="D1078" s="104"/>
      <c r="E1078" s="61"/>
      <c r="G1078" s="60"/>
      <c r="H1078" s="62"/>
      <c r="I1078" s="63"/>
      <c r="J1078" s="62"/>
      <c r="X1078" s="91"/>
      <c r="Y1078" s="91"/>
      <c r="Z1078" s="91"/>
      <c r="AA1078" s="91"/>
      <c r="AB1078" s="91"/>
      <c r="AC1078" s="37"/>
    </row>
    <row r="1079" spans="1:29">
      <c r="A1079" s="102"/>
      <c r="B1079" s="103"/>
      <c r="C1079" s="103"/>
      <c r="D1079" s="104"/>
      <c r="E1079" s="61"/>
      <c r="G1079" s="60"/>
      <c r="H1079" s="62"/>
      <c r="I1079" s="63"/>
      <c r="J1079" s="62"/>
      <c r="X1079" s="91"/>
      <c r="Y1079" s="91"/>
      <c r="Z1079" s="91"/>
      <c r="AA1079" s="91"/>
      <c r="AB1079" s="91"/>
      <c r="AC1079" s="37"/>
    </row>
    <row r="1080" spans="1:29">
      <c r="A1080" s="102"/>
      <c r="B1080" s="103"/>
      <c r="C1080" s="103"/>
      <c r="D1080" s="104"/>
      <c r="E1080" s="61"/>
      <c r="G1080" s="60"/>
      <c r="H1080" s="62"/>
      <c r="I1080" s="63"/>
      <c r="J1080" s="62"/>
      <c r="X1080" s="91"/>
      <c r="Y1080" s="91"/>
      <c r="Z1080" s="91"/>
      <c r="AA1080" s="91"/>
      <c r="AB1080" s="91"/>
      <c r="AC1080" s="37"/>
    </row>
    <row r="1081" spans="1:29">
      <c r="A1081" s="102"/>
      <c r="B1081" s="103"/>
      <c r="C1081" s="103"/>
      <c r="D1081" s="104"/>
      <c r="E1081" s="61"/>
      <c r="G1081" s="60"/>
      <c r="H1081" s="62"/>
      <c r="I1081" s="63"/>
      <c r="J1081" s="62"/>
      <c r="X1081" s="91"/>
      <c r="Y1081" s="91"/>
      <c r="Z1081" s="91"/>
      <c r="AA1081" s="91"/>
      <c r="AB1081" s="91"/>
      <c r="AC1081" s="37"/>
    </row>
    <row r="1082" spans="1:29">
      <c r="A1082" s="102"/>
      <c r="B1082" s="103"/>
      <c r="C1082" s="103"/>
      <c r="D1082" s="104"/>
      <c r="E1082" s="61"/>
      <c r="G1082" s="60"/>
      <c r="H1082" s="62"/>
      <c r="I1082" s="63"/>
      <c r="J1082" s="62"/>
      <c r="X1082" s="91"/>
      <c r="Y1082" s="91"/>
      <c r="Z1082" s="91"/>
      <c r="AA1082" s="91"/>
      <c r="AB1082" s="91"/>
      <c r="AC1082" s="37"/>
    </row>
    <row r="1083" spans="1:29">
      <c r="A1083" s="102"/>
      <c r="B1083" s="103"/>
      <c r="C1083" s="103"/>
      <c r="D1083" s="104"/>
      <c r="E1083" s="61"/>
      <c r="G1083" s="60"/>
      <c r="H1083" s="62"/>
      <c r="I1083" s="63"/>
      <c r="J1083" s="62"/>
      <c r="X1083" s="91"/>
      <c r="Y1083" s="91"/>
      <c r="Z1083" s="91"/>
      <c r="AA1083" s="91"/>
      <c r="AB1083" s="91"/>
      <c r="AC1083" s="37"/>
    </row>
    <row r="1084" spans="1:29">
      <c r="A1084" s="102"/>
      <c r="B1084" s="103"/>
      <c r="C1084" s="103"/>
      <c r="D1084" s="104"/>
      <c r="E1084" s="61"/>
      <c r="G1084" s="60"/>
      <c r="H1084" s="62"/>
      <c r="I1084" s="63"/>
      <c r="J1084" s="62"/>
      <c r="X1084" s="91"/>
      <c r="Y1084" s="91"/>
      <c r="Z1084" s="91"/>
      <c r="AA1084" s="91"/>
      <c r="AB1084" s="91"/>
      <c r="AC1084" s="37"/>
    </row>
    <row r="1085" spans="1:29">
      <c r="A1085" s="102"/>
      <c r="B1085" s="103"/>
      <c r="C1085" s="103"/>
      <c r="D1085" s="104"/>
      <c r="E1085" s="61"/>
      <c r="G1085" s="60"/>
      <c r="H1085" s="62"/>
      <c r="I1085" s="63"/>
      <c r="J1085" s="62"/>
      <c r="X1085" s="91"/>
      <c r="Y1085" s="91"/>
      <c r="Z1085" s="91"/>
      <c r="AA1085" s="91"/>
      <c r="AB1085" s="91"/>
      <c r="AC1085" s="37"/>
    </row>
    <row r="1086" spans="1:29">
      <c r="A1086" s="102"/>
      <c r="B1086" s="103"/>
      <c r="C1086" s="103"/>
      <c r="D1086" s="104"/>
      <c r="E1086" s="61"/>
      <c r="G1086" s="60"/>
      <c r="H1086" s="62"/>
      <c r="I1086" s="63"/>
      <c r="J1086" s="62"/>
      <c r="X1086" s="91"/>
      <c r="Y1086" s="91"/>
      <c r="Z1086" s="91"/>
      <c r="AA1086" s="91"/>
      <c r="AB1086" s="91"/>
      <c r="AC1086" s="37"/>
    </row>
    <row r="1087" spans="1:29">
      <c r="A1087" s="102"/>
      <c r="B1087" s="103"/>
      <c r="C1087" s="103"/>
      <c r="D1087" s="104"/>
      <c r="E1087" s="61"/>
      <c r="G1087" s="60"/>
      <c r="H1087" s="62"/>
      <c r="I1087" s="63"/>
      <c r="J1087" s="62"/>
      <c r="X1087" s="91"/>
      <c r="Y1087" s="91"/>
      <c r="Z1087" s="91"/>
      <c r="AA1087" s="91"/>
      <c r="AB1087" s="91"/>
      <c r="AC1087" s="37"/>
    </row>
    <row r="1088" spans="1:29">
      <c r="A1088" s="102"/>
      <c r="B1088" s="103"/>
      <c r="C1088" s="103"/>
      <c r="D1088" s="104"/>
      <c r="E1088" s="61"/>
      <c r="G1088" s="60"/>
      <c r="H1088" s="62"/>
      <c r="I1088" s="63"/>
      <c r="J1088" s="62"/>
      <c r="X1088" s="91"/>
      <c r="Y1088" s="91"/>
      <c r="Z1088" s="91"/>
      <c r="AA1088" s="91"/>
      <c r="AB1088" s="91"/>
      <c r="AC1088" s="37"/>
    </row>
    <row r="1089" spans="1:29">
      <c r="A1089" s="102"/>
      <c r="B1089" s="103"/>
      <c r="C1089" s="103"/>
      <c r="D1089" s="104"/>
      <c r="E1089" s="61"/>
      <c r="G1089" s="60"/>
      <c r="H1089" s="62"/>
      <c r="I1089" s="63"/>
      <c r="J1089" s="62"/>
      <c r="X1089" s="91"/>
      <c r="Y1089" s="91"/>
      <c r="Z1089" s="91"/>
      <c r="AA1089" s="91"/>
      <c r="AB1089" s="91"/>
      <c r="AC1089" s="37"/>
    </row>
    <row r="1090" spans="1:29">
      <c r="A1090" s="102"/>
      <c r="B1090" s="103"/>
      <c r="C1090" s="103"/>
      <c r="D1090" s="104"/>
      <c r="E1090" s="61"/>
      <c r="G1090" s="60"/>
      <c r="H1090" s="62"/>
      <c r="I1090" s="63"/>
      <c r="J1090" s="62"/>
      <c r="X1090" s="91"/>
      <c r="Y1090" s="91"/>
      <c r="Z1090" s="91"/>
      <c r="AA1090" s="91"/>
      <c r="AB1090" s="91"/>
      <c r="AC1090" s="37"/>
    </row>
    <row r="1091" spans="1:29">
      <c r="A1091" s="102"/>
      <c r="B1091" s="103"/>
      <c r="C1091" s="103"/>
      <c r="D1091" s="104"/>
      <c r="E1091" s="61"/>
      <c r="G1091" s="60"/>
      <c r="H1091" s="62"/>
      <c r="I1091" s="63"/>
      <c r="J1091" s="62"/>
      <c r="X1091" s="91"/>
      <c r="Y1091" s="91"/>
      <c r="Z1091" s="91"/>
      <c r="AA1091" s="91"/>
      <c r="AB1091" s="91"/>
      <c r="AC1091" s="37"/>
    </row>
    <row r="1092" spans="1:29">
      <c r="A1092" s="102"/>
      <c r="B1092" s="103"/>
      <c r="C1092" s="103"/>
      <c r="D1092" s="104"/>
      <c r="E1092" s="61"/>
      <c r="G1092" s="60"/>
      <c r="H1092" s="62"/>
      <c r="I1092" s="63"/>
      <c r="J1092" s="62"/>
      <c r="X1092" s="91"/>
      <c r="Y1092" s="91"/>
      <c r="Z1092" s="91"/>
      <c r="AA1092" s="91"/>
      <c r="AB1092" s="91"/>
      <c r="AC1092" s="37"/>
    </row>
    <row r="1093" spans="1:29">
      <c r="A1093" s="102"/>
      <c r="B1093" s="103"/>
      <c r="C1093" s="103"/>
      <c r="D1093" s="104"/>
      <c r="E1093" s="61"/>
      <c r="G1093" s="60"/>
      <c r="H1093" s="62"/>
      <c r="I1093" s="63"/>
      <c r="J1093" s="62"/>
      <c r="X1093" s="91"/>
      <c r="Y1093" s="91"/>
      <c r="Z1093" s="91"/>
      <c r="AA1093" s="91"/>
      <c r="AB1093" s="91"/>
      <c r="AC1093" s="37"/>
    </row>
    <row r="1094" spans="1:29">
      <c r="A1094" s="102"/>
      <c r="B1094" s="103"/>
      <c r="C1094" s="103"/>
      <c r="D1094" s="104"/>
      <c r="E1094" s="61"/>
      <c r="G1094" s="60"/>
      <c r="H1094" s="62"/>
      <c r="I1094" s="63"/>
      <c r="J1094" s="62"/>
      <c r="X1094" s="91"/>
      <c r="Y1094" s="91"/>
      <c r="Z1094" s="91"/>
      <c r="AA1094" s="91"/>
      <c r="AB1094" s="91"/>
      <c r="AC1094" s="37"/>
    </row>
    <row r="1095" spans="1:29">
      <c r="A1095" s="102"/>
      <c r="B1095" s="103"/>
      <c r="C1095" s="103"/>
      <c r="D1095" s="104"/>
      <c r="E1095" s="61"/>
      <c r="G1095" s="60"/>
      <c r="H1095" s="62"/>
      <c r="I1095" s="63"/>
      <c r="J1095" s="62"/>
      <c r="X1095" s="91"/>
      <c r="Y1095" s="91"/>
      <c r="Z1095" s="91"/>
      <c r="AA1095" s="91"/>
      <c r="AB1095" s="91"/>
      <c r="AC1095" s="37"/>
    </row>
    <row r="1096" spans="1:29">
      <c r="A1096" s="102"/>
      <c r="B1096" s="103"/>
      <c r="C1096" s="103"/>
      <c r="D1096" s="104"/>
      <c r="E1096" s="61"/>
      <c r="G1096" s="60"/>
      <c r="H1096" s="62"/>
      <c r="I1096" s="63"/>
      <c r="J1096" s="62"/>
      <c r="X1096" s="91"/>
      <c r="Y1096" s="91"/>
      <c r="Z1096" s="91"/>
      <c r="AA1096" s="91"/>
      <c r="AB1096" s="91"/>
      <c r="AC1096" s="37"/>
    </row>
    <row r="1097" spans="1:29">
      <c r="A1097" s="102"/>
      <c r="B1097" s="103"/>
      <c r="C1097" s="103"/>
      <c r="D1097" s="104"/>
      <c r="E1097" s="61"/>
      <c r="G1097" s="60"/>
      <c r="H1097" s="62"/>
      <c r="I1097" s="63"/>
      <c r="J1097" s="62"/>
      <c r="X1097" s="91"/>
      <c r="Y1097" s="91"/>
      <c r="Z1097" s="91"/>
      <c r="AA1097" s="91"/>
      <c r="AB1097" s="91"/>
      <c r="AC1097" s="37"/>
    </row>
    <row r="1098" spans="1:29">
      <c r="A1098" s="102"/>
      <c r="B1098" s="103"/>
      <c r="C1098" s="103"/>
      <c r="D1098" s="104"/>
      <c r="E1098" s="61"/>
      <c r="G1098" s="60"/>
      <c r="H1098" s="62"/>
      <c r="I1098" s="63"/>
      <c r="J1098" s="62"/>
      <c r="X1098" s="91"/>
      <c r="Y1098" s="91"/>
      <c r="Z1098" s="91"/>
      <c r="AA1098" s="91"/>
      <c r="AB1098" s="91"/>
      <c r="AC1098" s="37"/>
    </row>
    <row r="1099" spans="1:29">
      <c r="A1099" s="102"/>
      <c r="B1099" s="103"/>
      <c r="C1099" s="103"/>
      <c r="D1099" s="104"/>
      <c r="E1099" s="61"/>
      <c r="G1099" s="60"/>
      <c r="H1099" s="62"/>
      <c r="I1099" s="63"/>
      <c r="J1099" s="62"/>
      <c r="X1099" s="91"/>
      <c r="Y1099" s="91"/>
      <c r="Z1099" s="91"/>
      <c r="AA1099" s="91"/>
      <c r="AB1099" s="91"/>
      <c r="AC1099" s="37"/>
    </row>
    <row r="1100" spans="1:29">
      <c r="A1100" s="102"/>
      <c r="B1100" s="103"/>
      <c r="C1100" s="103"/>
      <c r="D1100" s="104"/>
      <c r="E1100" s="61"/>
      <c r="G1100" s="60"/>
      <c r="H1100" s="62"/>
      <c r="I1100" s="63"/>
      <c r="J1100" s="62"/>
      <c r="X1100" s="91"/>
      <c r="Y1100" s="91"/>
      <c r="Z1100" s="91"/>
      <c r="AA1100" s="91"/>
      <c r="AB1100" s="91"/>
      <c r="AC1100" s="37"/>
    </row>
    <row r="1101" spans="1:29">
      <c r="A1101" s="102"/>
      <c r="B1101" s="103"/>
      <c r="C1101" s="103"/>
      <c r="D1101" s="104"/>
      <c r="E1101" s="61"/>
      <c r="G1101" s="60"/>
      <c r="H1101" s="62"/>
      <c r="I1101" s="63"/>
      <c r="J1101" s="62"/>
      <c r="X1101" s="91"/>
      <c r="Y1101" s="91"/>
      <c r="Z1101" s="91"/>
      <c r="AA1101" s="91"/>
      <c r="AB1101" s="91"/>
      <c r="AC1101" s="37"/>
    </row>
    <row r="1102" spans="1:29">
      <c r="A1102" s="102"/>
      <c r="B1102" s="103"/>
      <c r="C1102" s="103"/>
      <c r="D1102" s="104"/>
      <c r="E1102" s="61"/>
      <c r="G1102" s="60"/>
      <c r="H1102" s="62"/>
      <c r="I1102" s="63"/>
      <c r="J1102" s="62"/>
      <c r="X1102" s="91"/>
      <c r="Y1102" s="91"/>
      <c r="Z1102" s="91"/>
      <c r="AA1102" s="91"/>
      <c r="AB1102" s="91"/>
      <c r="AC1102" s="37"/>
    </row>
    <row r="1103" spans="1:29">
      <c r="A1103" s="102"/>
      <c r="B1103" s="103"/>
      <c r="C1103" s="103"/>
      <c r="D1103" s="104"/>
      <c r="E1103" s="61"/>
      <c r="G1103" s="60"/>
      <c r="H1103" s="62"/>
      <c r="I1103" s="63"/>
      <c r="J1103" s="62"/>
      <c r="X1103" s="91"/>
      <c r="Y1103" s="91"/>
      <c r="Z1103" s="91"/>
      <c r="AA1103" s="91"/>
      <c r="AB1103" s="91"/>
      <c r="AC1103" s="37"/>
    </row>
    <row r="1104" spans="1:29">
      <c r="A1104" s="102"/>
      <c r="B1104" s="103"/>
      <c r="C1104" s="103"/>
      <c r="D1104" s="104"/>
      <c r="E1104" s="61"/>
      <c r="G1104" s="60"/>
      <c r="H1104" s="62"/>
      <c r="I1104" s="63"/>
      <c r="J1104" s="62"/>
      <c r="X1104" s="91"/>
      <c r="Y1104" s="91"/>
      <c r="Z1104" s="91"/>
      <c r="AA1104" s="91"/>
      <c r="AB1104" s="91"/>
      <c r="AC1104" s="37"/>
    </row>
    <row r="1105" spans="1:29">
      <c r="A1105" s="102"/>
      <c r="B1105" s="103"/>
      <c r="C1105" s="103"/>
      <c r="D1105" s="104"/>
      <c r="E1105" s="61"/>
      <c r="G1105" s="60"/>
      <c r="H1105" s="62"/>
      <c r="I1105" s="63"/>
      <c r="J1105" s="62"/>
      <c r="X1105" s="91"/>
      <c r="Y1105" s="91"/>
      <c r="Z1105" s="91"/>
      <c r="AA1105" s="91"/>
      <c r="AB1105" s="91"/>
      <c r="AC1105" s="37"/>
    </row>
    <row r="1106" spans="1:29">
      <c r="A1106" s="102"/>
      <c r="B1106" s="103"/>
      <c r="C1106" s="103"/>
      <c r="D1106" s="104"/>
      <c r="E1106" s="61"/>
      <c r="G1106" s="60"/>
      <c r="H1106" s="62"/>
      <c r="I1106" s="63"/>
      <c r="J1106" s="62"/>
      <c r="X1106" s="91"/>
      <c r="Y1106" s="91"/>
      <c r="Z1106" s="91"/>
      <c r="AA1106" s="91"/>
      <c r="AB1106" s="91"/>
      <c r="AC1106" s="37"/>
    </row>
    <row r="1107" spans="1:29">
      <c r="A1107" s="102"/>
      <c r="B1107" s="103"/>
      <c r="C1107" s="103"/>
      <c r="D1107" s="104"/>
      <c r="E1107" s="61"/>
      <c r="G1107" s="60"/>
      <c r="H1107" s="62"/>
      <c r="I1107" s="63"/>
      <c r="J1107" s="62"/>
      <c r="X1107" s="91"/>
      <c r="Y1107" s="91"/>
      <c r="Z1107" s="91"/>
      <c r="AA1107" s="91"/>
      <c r="AB1107" s="91"/>
      <c r="AC1107" s="37"/>
    </row>
    <row r="1108" spans="1:29">
      <c r="A1108" s="102"/>
      <c r="B1108" s="103"/>
      <c r="C1108" s="103"/>
      <c r="D1108" s="104"/>
      <c r="E1108" s="61"/>
      <c r="G1108" s="60"/>
      <c r="H1108" s="62"/>
      <c r="I1108" s="63"/>
      <c r="J1108" s="62"/>
      <c r="X1108" s="91"/>
      <c r="Y1108" s="91"/>
      <c r="Z1108" s="91"/>
      <c r="AA1108" s="91"/>
      <c r="AB1108" s="91"/>
      <c r="AC1108" s="37"/>
    </row>
    <row r="1109" spans="1:29">
      <c r="A1109" s="102"/>
      <c r="B1109" s="103"/>
      <c r="C1109" s="103"/>
      <c r="D1109" s="104"/>
      <c r="E1109" s="61"/>
      <c r="G1109" s="60"/>
      <c r="H1109" s="62"/>
      <c r="I1109" s="63"/>
      <c r="J1109" s="62"/>
      <c r="X1109" s="91"/>
      <c r="Y1109" s="91"/>
      <c r="Z1109" s="91"/>
      <c r="AA1109" s="91"/>
      <c r="AB1109" s="91"/>
      <c r="AC1109" s="37"/>
    </row>
  </sheetData>
  <sheetProtection algorithmName="SHA-512" hashValue="OkPlp+mklxxNDgzMD/b7D97kcxBxJufpv9dBa1E63lqE8rgYv3F3ntE8s+UTHWDxlOhzrD8fNe777JQe7Y2uDA==" saltValue="CwZH6GX4huAMmy4yE3HpKg==" spinCount="100000" sheet="1" objects="1" scenarios="1"/>
  <mergeCells count="6">
    <mergeCell ref="AD1:AD2"/>
    <mergeCell ref="D1:D60"/>
    <mergeCell ref="E1:E2"/>
    <mergeCell ref="G1:G2"/>
    <mergeCell ref="K1:K2"/>
    <mergeCell ref="L1:L2"/>
  </mergeCells>
  <conditionalFormatting sqref="E57:G57 I57:J57 H57:H60 G59 E3:J25 E27:J56">
    <cfRule type="containsBlanks" dxfId="4" priority="5">
      <formula>LEN(TRIM(E3))=0</formula>
    </cfRule>
  </conditionalFormatting>
  <conditionalFormatting sqref="G3:H25 G27:H56">
    <cfRule type="expression" dxfId="3" priority="4">
      <formula>NOT(G3=C3)</formula>
    </cfRule>
  </conditionalFormatting>
  <conditionalFormatting sqref="G57:H1109">
    <cfRule type="expression" dxfId="2" priority="6">
      <formula>NOT(G57=C57)</formula>
    </cfRule>
  </conditionalFormatting>
  <conditionalFormatting sqref="E26:J26">
    <cfRule type="containsBlanks" dxfId="1" priority="2">
      <formula>LEN(TRIM(E26))=0</formula>
    </cfRule>
  </conditionalFormatting>
  <conditionalFormatting sqref="G26:H26">
    <cfRule type="expression" dxfId="0" priority="1">
      <formula>NOT(G26=C26)</formula>
    </cfRule>
  </conditionalFormatting>
  <hyperlinks>
    <hyperlink ref="AD11" r:id="rId1"/>
    <hyperlink ref="AD13" r:id="rId2"/>
    <hyperlink ref="AD14" r:id="rId3"/>
    <hyperlink ref="AD15" r:id="rId4"/>
    <hyperlink ref="AD16" r:id="rId5"/>
    <hyperlink ref="AD18" r:id="rId6"/>
    <hyperlink ref="AD19" r:id="rId7"/>
    <hyperlink ref="AD20" r:id="rId8"/>
    <hyperlink ref="AD21" r:id="rId9"/>
    <hyperlink ref="AD22" r:id="rId10"/>
    <hyperlink ref="AD23" r:id="rId11"/>
    <hyperlink ref="AD24" r:id="rId12"/>
    <hyperlink ref="AD25" r:id="rId13"/>
    <hyperlink ref="AD30" r:id="rId14"/>
    <hyperlink ref="AD31" r:id="rId15"/>
    <hyperlink ref="AD32" r:id="rId16"/>
    <hyperlink ref="AD33" r:id="rId17"/>
    <hyperlink ref="AD34" r:id="rId18"/>
    <hyperlink ref="AD36" r:id="rId19"/>
    <hyperlink ref="AD37" r:id="rId20"/>
    <hyperlink ref="AD38" r:id="rId21"/>
    <hyperlink ref="AD39" r:id="rId22"/>
    <hyperlink ref="AD40" r:id="rId23"/>
    <hyperlink ref="AD41" r:id="rId24"/>
    <hyperlink ref="AD43" r:id="rId25"/>
    <hyperlink ref="AD44" r:id="rId26"/>
    <hyperlink ref="AD45" r:id="rId27"/>
    <hyperlink ref="AD46" r:id="rId28"/>
    <hyperlink ref="AD47" r:id="rId29"/>
    <hyperlink ref="AD48" r:id="rId30"/>
    <hyperlink ref="AD49" r:id="rId31"/>
    <hyperlink ref="AD50" r:id="rId32"/>
    <hyperlink ref="AD53" r:id="rId33"/>
    <hyperlink ref="AD54" r:id="rId34"/>
    <hyperlink ref="AD57" r:id="rId35"/>
    <hyperlink ref="AD58" r:id="rId36"/>
    <hyperlink ref="AD59" r:id="rId37"/>
    <hyperlink ref="AD60" r:id="rId38"/>
    <hyperlink ref="AD7" r:id="rId39"/>
    <hyperlink ref="AD8" r:id="rId40"/>
    <hyperlink ref="AD9" r:id="rId41"/>
    <hyperlink ref="AD10" r:id="rId42"/>
    <hyperlink ref="AD17" r:id="rId43"/>
    <hyperlink ref="AD35" r:id="rId44"/>
    <hyperlink ref="AD5" r:id="rId45"/>
    <hyperlink ref="AD55" r:id="rId46"/>
    <hyperlink ref="AD42" r:id="rId47"/>
    <hyperlink ref="AD29" r:id="rId48"/>
    <hyperlink ref="AD28" r:id="rId49"/>
    <hyperlink ref="AD12" r:id="rId50"/>
    <hyperlink ref="AD6" r:id="rId51"/>
    <hyperlink ref="AD26" r:id="rId52"/>
    <hyperlink ref="AD27" r:id="rId53"/>
    <hyperlink ref="AD56" r:id="rId5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БН ТРЗ</vt:lpstr>
      <vt:lpstr>БН Баумана</vt:lpstr>
      <vt:lpstr>БН Краснопресненское</vt:lpstr>
      <vt:lpstr>БН Октябрьяское</vt:lpstr>
      <vt:lpstr>БН Русакова</vt:lpstr>
      <vt:lpstr>Информационные материалы для ТС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Пантюхов Андрей</dc:creator>
  <cp:lastModifiedBy>Пантюхов Андрей</cp:lastModifiedBy>
  <cp:lastPrinted>2026-03-18T08:58:17Z</cp:lastPrinted>
  <dcterms:created xsi:type="dcterms:W3CDTF">2024-02-19T13:43:05Z</dcterms:created>
  <dcterms:modified xsi:type="dcterms:W3CDTF">2026-04-13T09:28:54Z</dcterms:modified>
</cp:coreProperties>
</file>